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Chika Barn\Downloads\"/>
    </mc:Choice>
  </mc:AlternateContent>
  <xr:revisionPtr revIDLastSave="0" documentId="8_{30B8C7E0-A451-499B-B965-9CBD68F54B0A}" xr6:coauthVersionLast="47" xr6:coauthVersionMax="47" xr10:uidLastSave="{00000000-0000-0000-0000-000000000000}"/>
  <bookViews>
    <workbookView xWindow="-105" yWindow="0" windowWidth="10455" windowHeight="10905" firstSheet="1" activeTab="1" xr2:uid="{00000000-000D-0000-FFFF-FFFF00000000}"/>
  </bookViews>
  <sheets>
    <sheet name="Sheet1" sheetId="1" r:id="rId1"/>
    <sheet name="Traffic &amp; User Behavior Analysi" sheetId="3" r:id="rId2"/>
    <sheet name="cleaned data" sheetId="2" r:id="rId3"/>
  </sheets>
  <calcPr calcId="191029"/>
  <pivotCaches>
    <pivotCache cacheId="8"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alcChain>
</file>

<file path=xl/sharedStrings.xml><?xml version="1.0" encoding="utf-8"?>
<sst xmlns="http://schemas.openxmlformats.org/spreadsheetml/2006/main" count="1031" uniqueCount="279">
  <si>
    <t>Date</t>
  </si>
  <si>
    <t>Time</t>
  </si>
  <si>
    <t>Channel</t>
  </si>
  <si>
    <t>Sessions</t>
  </si>
  <si>
    <t>Bounce Rate (%)</t>
  </si>
  <si>
    <t>Avg Session Duration (sec)</t>
  </si>
  <si>
    <t>Conversions</t>
  </si>
  <si>
    <t>Conversion Rate (%)</t>
  </si>
  <si>
    <t>18:09:38</t>
  </si>
  <si>
    <t>04:49:41</t>
  </si>
  <si>
    <t>22:28:35</t>
  </si>
  <si>
    <t>00:18:55</t>
  </si>
  <si>
    <t>09:10:07</t>
  </si>
  <si>
    <t>02:16:51</t>
  </si>
  <si>
    <t>22:19:47</t>
  </si>
  <si>
    <t>15:50:54</t>
  </si>
  <si>
    <t>17:14:52</t>
  </si>
  <si>
    <t>09:40:21</t>
  </si>
  <si>
    <t>13:26:35</t>
  </si>
  <si>
    <t>10:49:06</t>
  </si>
  <si>
    <t>14:13:40</t>
  </si>
  <si>
    <t>20:30:46</t>
  </si>
  <si>
    <t>12:51:57</t>
  </si>
  <si>
    <t>04:44:08</t>
  </si>
  <si>
    <t>23:04:11</t>
  </si>
  <si>
    <t>23:05:06</t>
  </si>
  <si>
    <t>08:07:27</t>
  </si>
  <si>
    <t>00:07:23</t>
  </si>
  <si>
    <t>01:10:40</t>
  </si>
  <si>
    <t>21:01:38</t>
  </si>
  <si>
    <t>05:21:30</t>
  </si>
  <si>
    <t>05:21:04</t>
  </si>
  <si>
    <t>18:31:24</t>
  </si>
  <si>
    <t>16:58:35</t>
  </si>
  <si>
    <t>01:27:53</t>
  </si>
  <si>
    <t>07:58:50</t>
  </si>
  <si>
    <t>20:31:41</t>
  </si>
  <si>
    <t>07:01:29</t>
  </si>
  <si>
    <t>18:51:50</t>
  </si>
  <si>
    <t>19:52:18</t>
  </si>
  <si>
    <t>04:13:19</t>
  </si>
  <si>
    <t>20:22:33</t>
  </si>
  <si>
    <t>14:32:40</t>
  </si>
  <si>
    <t>13:46:08</t>
  </si>
  <si>
    <t>09:30:55</t>
  </si>
  <si>
    <t>18:06:32</t>
  </si>
  <si>
    <t>21:31:50</t>
  </si>
  <si>
    <t>06:34:57</t>
  </si>
  <si>
    <t>15:19:07</t>
  </si>
  <si>
    <t>19:28:16</t>
  </si>
  <si>
    <t>01:29:10</t>
  </si>
  <si>
    <t>19:30:48</t>
  </si>
  <si>
    <t>16:57:21</t>
  </si>
  <si>
    <t>14:22:07</t>
  </si>
  <si>
    <t>07:28:40</t>
  </si>
  <si>
    <t>02:57:23</t>
  </si>
  <si>
    <t>19:05:13</t>
  </si>
  <si>
    <t>15:16:59</t>
  </si>
  <si>
    <t>19:14:35</t>
  </si>
  <si>
    <t>15:36:19</t>
  </si>
  <si>
    <t>22:15:43</t>
  </si>
  <si>
    <t>14:21:01</t>
  </si>
  <si>
    <t>05:29:24</t>
  </si>
  <si>
    <t>06:20:41</t>
  </si>
  <si>
    <t>00:24:37</t>
  </si>
  <si>
    <t>12:31:31</t>
  </si>
  <si>
    <t>22:31:36</t>
  </si>
  <si>
    <t>18:45:46</t>
  </si>
  <si>
    <t>15:03:45</t>
  </si>
  <si>
    <t>12:18:52</t>
  </si>
  <si>
    <t>23:23:40</t>
  </si>
  <si>
    <t>04:56:32</t>
  </si>
  <si>
    <t>22:02:56</t>
  </si>
  <si>
    <t>04:12:55</t>
  </si>
  <si>
    <t>14:48:24</t>
  </si>
  <si>
    <t>12:49:39</t>
  </si>
  <si>
    <t>17:33:44</t>
  </si>
  <si>
    <t>05:09:22</t>
  </si>
  <si>
    <t>16:12:42</t>
  </si>
  <si>
    <t>11:05:41</t>
  </si>
  <si>
    <t>06:49:39</t>
  </si>
  <si>
    <t>09:18:06</t>
  </si>
  <si>
    <t>02:15:56</t>
  </si>
  <si>
    <t>05:30:13</t>
  </si>
  <si>
    <t>15:01:03</t>
  </si>
  <si>
    <t>22:20:36</t>
  </si>
  <si>
    <t>06:15:07</t>
  </si>
  <si>
    <t>04:50:41</t>
  </si>
  <si>
    <t>14:45:08</t>
  </si>
  <si>
    <t>21:23:24</t>
  </si>
  <si>
    <t>14:15:04</t>
  </si>
  <si>
    <t>17:02:10</t>
  </si>
  <si>
    <t>00:11:37</t>
  </si>
  <si>
    <t>05:23:21</t>
  </si>
  <si>
    <t>23:17:03</t>
  </si>
  <si>
    <t>19:00:48</t>
  </si>
  <si>
    <t>17:47:15</t>
  </si>
  <si>
    <t>12:01:59</t>
  </si>
  <si>
    <t>05:45:22</t>
  </si>
  <si>
    <t>17:55:06</t>
  </si>
  <si>
    <t>16:01:08</t>
  </si>
  <si>
    <t>09:22:46</t>
  </si>
  <si>
    <t>16:44:19</t>
  </si>
  <si>
    <t>05:35:58</t>
  </si>
  <si>
    <t>06:52:23</t>
  </si>
  <si>
    <t>08:40:15</t>
  </si>
  <si>
    <t>04:20:26</t>
  </si>
  <si>
    <t>22:27:14</t>
  </si>
  <si>
    <t>09:12:48</t>
  </si>
  <si>
    <t>09:55:45</t>
  </si>
  <si>
    <t>18:45:01</t>
  </si>
  <si>
    <t>15:45:15</t>
  </si>
  <si>
    <t>06:54:52</t>
  </si>
  <si>
    <t>05:42:55</t>
  </si>
  <si>
    <t>14:19:34</t>
  </si>
  <si>
    <t>12:55:59</t>
  </si>
  <si>
    <t>05:37:28</t>
  </si>
  <si>
    <t>18:56:48</t>
  </si>
  <si>
    <t>14:28:38</t>
  </si>
  <si>
    <t>17:23:51</t>
  </si>
  <si>
    <t>02:49:04</t>
  </si>
  <si>
    <t>15:31:41</t>
  </si>
  <si>
    <t>12:43:27</t>
  </si>
  <si>
    <t>13:31:36</t>
  </si>
  <si>
    <t>11:52:33</t>
  </si>
  <si>
    <t>11:03:22</t>
  </si>
  <si>
    <t>21:33:25</t>
  </si>
  <si>
    <t>05:13:40</t>
  </si>
  <si>
    <t>21:36:40</t>
  </si>
  <si>
    <t>04:32:04</t>
  </si>
  <si>
    <t>02:46:35</t>
  </si>
  <si>
    <t>00:38:02</t>
  </si>
  <si>
    <t>05:53:51</t>
  </si>
  <si>
    <t>21:20:55</t>
  </si>
  <si>
    <t>06:29:47</t>
  </si>
  <si>
    <t>04:16:57</t>
  </si>
  <si>
    <t>02:17:48</t>
  </si>
  <si>
    <t>10:07:05</t>
  </si>
  <si>
    <t>22:09:35</t>
  </si>
  <si>
    <t>23:07:46</t>
  </si>
  <si>
    <t>11:06:06</t>
  </si>
  <si>
    <t>03:00:50</t>
  </si>
  <si>
    <t>12:00:09</t>
  </si>
  <si>
    <t>04:37:52</t>
  </si>
  <si>
    <t>22:42:20</t>
  </si>
  <si>
    <t>20:30:39</t>
  </si>
  <si>
    <t>19:47:59</t>
  </si>
  <si>
    <t>04:46:58</t>
  </si>
  <si>
    <t>20:16:54</t>
  </si>
  <si>
    <t>12:34:18</t>
  </si>
  <si>
    <t>05:30:24</t>
  </si>
  <si>
    <t>21:27:20</t>
  </si>
  <si>
    <t>12:25:58</t>
  </si>
  <si>
    <t>15:20:58</t>
  </si>
  <si>
    <t>10:14:00</t>
  </si>
  <si>
    <t>23:21:56</t>
  </si>
  <si>
    <t>11:16:33</t>
  </si>
  <si>
    <t>04:38:07</t>
  </si>
  <si>
    <t>02:00:38</t>
  </si>
  <si>
    <t>09:31:58</t>
  </si>
  <si>
    <t>22:14:12</t>
  </si>
  <si>
    <t>05:10:02</t>
  </si>
  <si>
    <t>07:55:23</t>
  </si>
  <si>
    <t>08:29:59</t>
  </si>
  <si>
    <t>09:20:49</t>
  </si>
  <si>
    <t>10:40:58</t>
  </si>
  <si>
    <t>09:32:52</t>
  </si>
  <si>
    <t>19:41:36</t>
  </si>
  <si>
    <t>20:58:19</t>
  </si>
  <si>
    <t>09:13:33</t>
  </si>
  <si>
    <t>05:45:20</t>
  </si>
  <si>
    <t>13:12:07</t>
  </si>
  <si>
    <t>07:22:55</t>
  </si>
  <si>
    <t>05:54:42</t>
  </si>
  <si>
    <t>12:42:04</t>
  </si>
  <si>
    <t>22:22:58</t>
  </si>
  <si>
    <t>04:16:20</t>
  </si>
  <si>
    <t>06:30:25</t>
  </si>
  <si>
    <t>17:15:38</t>
  </si>
  <si>
    <t>13:46:17</t>
  </si>
  <si>
    <t>23:17:46</t>
  </si>
  <si>
    <t>12:50:39</t>
  </si>
  <si>
    <t>10:51:26</t>
  </si>
  <si>
    <t>17:39:06</t>
  </si>
  <si>
    <t>13:04:25</t>
  </si>
  <si>
    <t>13:55:00</t>
  </si>
  <si>
    <t>15:29:31</t>
  </si>
  <si>
    <t>12:58:11</t>
  </si>
  <si>
    <t>09:08:08</t>
  </si>
  <si>
    <t>22:50:20</t>
  </si>
  <si>
    <t>13:43:29</t>
  </si>
  <si>
    <t>20:48:53</t>
  </si>
  <si>
    <t>05:27:31</t>
  </si>
  <si>
    <t>22:29:42</t>
  </si>
  <si>
    <t>16:53:54</t>
  </si>
  <si>
    <t>05:43:03</t>
  </si>
  <si>
    <t>11:59:09</t>
  </si>
  <si>
    <t>06:03:00</t>
  </si>
  <si>
    <t>17:14:42</t>
  </si>
  <si>
    <t>00:59:30</t>
  </si>
  <si>
    <t>06:31:24</t>
  </si>
  <si>
    <t>00:37:45</t>
  </si>
  <si>
    <t>11:00:51</t>
  </si>
  <si>
    <t>21:52:42</t>
  </si>
  <si>
    <t>17:32:37</t>
  </si>
  <si>
    <t>01:33:11</t>
  </si>
  <si>
    <t>01:53:42</t>
  </si>
  <si>
    <t>00:51:37</t>
  </si>
  <si>
    <t>08:52:44</t>
  </si>
  <si>
    <t>06:02:30</t>
  </si>
  <si>
    <t>06:23:47</t>
  </si>
  <si>
    <t>07:50:38</t>
  </si>
  <si>
    <t>18:44:34</t>
  </si>
  <si>
    <t>05:19:42</t>
  </si>
  <si>
    <t>16:16:21</t>
  </si>
  <si>
    <t>03:25:28</t>
  </si>
  <si>
    <t>06:40:38</t>
  </si>
  <si>
    <t>07:25:19</t>
  </si>
  <si>
    <t>03:50:30</t>
  </si>
  <si>
    <t>06:41:29</t>
  </si>
  <si>
    <t>08:05:49</t>
  </si>
  <si>
    <t>11:04:42</t>
  </si>
  <si>
    <t>15:43:36</t>
  </si>
  <si>
    <t>20:46:38</t>
  </si>
  <si>
    <t>01:11:07</t>
  </si>
  <si>
    <t>15:31:47</t>
  </si>
  <si>
    <t>17:37:32</t>
  </si>
  <si>
    <t>03:19:30</t>
  </si>
  <si>
    <t>09:45:36</t>
  </si>
  <si>
    <t>12:39:48</t>
  </si>
  <si>
    <t>02:24:48</t>
  </si>
  <si>
    <t>05:59:46</t>
  </si>
  <si>
    <t>03:31:25</t>
  </si>
  <si>
    <t>10:55:17</t>
  </si>
  <si>
    <t>13:00:20</t>
  </si>
  <si>
    <t>03:20:56</t>
  </si>
  <si>
    <t>23:33:54</t>
  </si>
  <si>
    <t>18:35:50</t>
  </si>
  <si>
    <t>17:03:44</t>
  </si>
  <si>
    <t>06:40:37</t>
  </si>
  <si>
    <t>19:31:22</t>
  </si>
  <si>
    <t>02:48:04</t>
  </si>
  <si>
    <t>23:24:31</t>
  </si>
  <si>
    <t>08:55:27</t>
  </si>
  <si>
    <t>08:01:48</t>
  </si>
  <si>
    <t>23:56:10</t>
  </si>
  <si>
    <t>04:57:45</t>
  </si>
  <si>
    <t>Organic Search</t>
  </si>
  <si>
    <t>Direct</t>
  </si>
  <si>
    <t>Paid Search</t>
  </si>
  <si>
    <t>Email</t>
  </si>
  <si>
    <t>Referral</t>
  </si>
  <si>
    <t>Social</t>
  </si>
  <si>
    <t>Bounce Rate %</t>
  </si>
  <si>
    <t>Bounce Rate</t>
  </si>
  <si>
    <t>conversion rate %</t>
  </si>
  <si>
    <t xml:space="preserve">Conversion Rate </t>
  </si>
  <si>
    <t>Avg session duration (min)</t>
  </si>
  <si>
    <t>Average of Bounce Rate %</t>
  </si>
  <si>
    <t xml:space="preserve"> </t>
  </si>
  <si>
    <t>Traffic Volume by Channel</t>
  </si>
  <si>
    <t>Bounce Rate by Channel</t>
  </si>
  <si>
    <t xml:space="preserve"> Avg session duration (min)</t>
  </si>
  <si>
    <t>Average Session Duration by Channel (Min)</t>
  </si>
  <si>
    <t>Organic Search generates the highest number of sessions, indicating strong search visibility. Paid Search and Social channels also contribute significant traffic, while Email traffic has the lowest volume.</t>
  </si>
  <si>
    <t>Direct traffic records the lowest bounce rate (42%), suggesting strong user intent. Social traffic shows the highest bounce rate (50%), indicating lower engagement or misaligned landing page expectations.</t>
  </si>
  <si>
    <t>Insights</t>
  </si>
  <si>
    <t>Total Conversions</t>
  </si>
  <si>
    <t>Total Sessions</t>
  </si>
  <si>
    <t>Total Conversions by Channel</t>
  </si>
  <si>
    <t>Referral traffic shows the highest average session duration (approximately 3.9 minutes), indicating the deepest user engagement. Direct, Email, and Organic Search traffic follow closely at around 3.5 minutes, suggesting consistently engaged users across these channels. Paid Search records the lowest session duration, indicating comparatively lower engagement.</t>
  </si>
  <si>
    <t>Organic Search and Social channels generate the highest total conversions due to higher traffic volume, while Direct and Email traffic contribute fewer conversions but show stronger intent when combined with lower bounce rates.</t>
  </si>
  <si>
    <t>Final Outcome</t>
  </si>
  <si>
    <t>Analysis shows that Organic Search and Social channels generate the highest total conversions due to strong traffic volume, while Referral and Direct traffic demonstrate deeper user engagement through longer session duration and lower bounce rates. Email traffic, despite lower volume, shows signs of high intent, indicating potential for scalable conversion growth. Overall, optimization efforts should focus on improving Organic Search landing pages while leveraging high-intent channels for conversion efficiency.</t>
  </si>
  <si>
    <t>Tools: Google Analytics–style data, Excel</t>
  </si>
  <si>
    <t>Objective: Identify traffic sources with the highest conversion potential and recommend optimization strategies.</t>
  </si>
  <si>
    <t xml:space="preserve">PROJECT: WEBSITE TRAFFIC &amp; USER BEHAVIOR ANALYSIS </t>
  </si>
  <si>
    <t>Recommendations</t>
  </si>
  <si>
    <t>1. Optimize Organic Search landing pages to reduce bounce rate and improve conversion efficiency.
2. Scale Email marketing campaigns due to high user intent and strong engagement metrics.
3. Leverage Referral traffic by strengthening partnerships that drive highly engaged users.
4. Improve Social traffic targeting to attract more qualified visitors and reduce bounce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</si>
</sst>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71" formatCode="0.0"/>
    <numFmt numFmtId="173" formatCode="[$-F400]h:mm:ss\ am/pm"/>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164" fontId="0" fillId="0" borderId="0" xfId="0" applyNumberFormat="1"/>
    <xf numFmtId="0" fontId="1" fillId="0" borderId="1" xfId="0" applyFont="1" applyBorder="1" applyAlignment="1">
      <alignment horizontal="center" vertical="top"/>
    </xf>
    <xf numFmtId="9" fontId="0" fillId="0" borderId="0" xfId="1" applyFont="1"/>
    <xf numFmtId="171" fontId="0" fillId="0" borderId="0" xfId="0" applyNumberFormat="1"/>
    <xf numFmtId="1" fontId="0" fillId="0" borderId="0" xfId="0" applyNumberFormat="1"/>
    <xf numFmtId="14" fontId="0" fillId="0" borderId="0" xfId="0" applyNumberFormat="1"/>
    <xf numFmtId="173"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0" fillId="0" borderId="0" xfId="0" applyAlignment="1">
      <alignment horizontal="center" wrapText="1"/>
    </xf>
    <xf numFmtId="0" fontId="1"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0" fillId="0" borderId="0" xfId="0" applyAlignment="1">
      <alignment horizontal="left" wrapText="1"/>
    </xf>
    <xf numFmtId="0" fontId="0" fillId="0" borderId="0" xfId="0" applyAlignment="1">
      <alignment horizontal="left"/>
    </xf>
  </cellXfs>
  <cellStyles count="2">
    <cellStyle name="Normal" xfId="0" builtinId="0"/>
    <cellStyle name="Percent" xfId="1" builtinId="5"/>
  </cellStyles>
  <dxfs count="26">
    <dxf>
      <numFmt numFmtId="171" formatCode="0.0"/>
    </dxf>
    <dxf>
      <numFmt numFmtId="171" formatCode="0.0"/>
    </dxf>
    <dxf>
      <numFmt numFmtId="171" formatCode="0.0"/>
    </dxf>
    <dxf>
      <numFmt numFmtId="2" formatCode="0.00"/>
    </dxf>
    <dxf>
      <numFmt numFmtId="171" formatCode="0.0"/>
    </dxf>
    <dxf>
      <numFmt numFmtId="2" formatCode="0.00"/>
    </dxf>
    <dxf>
      <numFmt numFmtId="170" formatCode="0.000"/>
    </dxf>
    <dxf>
      <numFmt numFmtId="170" formatCode="0.000"/>
    </dxf>
    <dxf>
      <numFmt numFmtId="2" formatCode="0.00"/>
    </dxf>
    <dxf>
      <numFmt numFmtId="2" formatCode="0.00"/>
    </dxf>
    <dxf>
      <numFmt numFmtId="171" formatCode="0.0"/>
    </dxf>
    <dxf>
      <numFmt numFmtId="171" formatCode="0.0"/>
    </dxf>
    <dxf>
      <numFmt numFmtId="171" formatCode="0.0"/>
    </dxf>
    <dxf>
      <numFmt numFmtId="171" formatCode="0.0"/>
    </dxf>
    <dxf>
      <numFmt numFmtId="171" formatCode="0.0"/>
    </dxf>
    <dxf>
      <numFmt numFmtId="171" formatCode="0.0"/>
    </dxf>
    <dxf>
      <numFmt numFmtId="173" formatCode="[$-F400]h:mm:ss\ am/pm"/>
    </dxf>
    <dxf>
      <numFmt numFmtId="19" formatCode="dd/mm/yyyy"/>
    </dxf>
    <dxf>
      <numFmt numFmtId="1" formatCode="0"/>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ka Barn" refreshedDate="46024.437303009261" createdVersion="8" refreshedVersion="8" minRefreshableVersion="3" recordCount="240" xr:uid="{6B4E23CE-AC24-4BA3-AEFC-48E90004FAFA}">
  <cacheSource type="worksheet">
    <worksheetSource name="Table13"/>
  </cacheSource>
  <cacheFields count="11">
    <cacheField name="Date" numFmtId="14">
      <sharedItems containsSemiMixedTypes="0" containsNonDate="0" containsDate="1" containsString="0" minDate="2025-01-01T00:00:00" maxDate="2025-08-29T00:00:00"/>
    </cacheField>
    <cacheField name="Time" numFmtId="173">
      <sharedItems/>
    </cacheField>
    <cacheField name="Channel" numFmtId="0">
      <sharedItems count="6">
        <s v="Organic Search"/>
        <s v="Direct"/>
        <s v="Paid Search"/>
        <s v="Email"/>
        <s v="Referral"/>
        <s v="Social"/>
      </sharedItems>
    </cacheField>
    <cacheField name="Sessions" numFmtId="0">
      <sharedItems containsSemiMixedTypes="0" containsString="0" containsNumber="1" containsInteger="1" minValue="50" maxValue="593"/>
    </cacheField>
    <cacheField name="Bounce Rate" numFmtId="0">
      <sharedItems containsSemiMixedTypes="0" containsString="0" containsNumber="1" minValue="25" maxValue="69.900000000000006"/>
    </cacheField>
    <cacheField name="Avg Session Duration (sec)" numFmtId="0">
      <sharedItems containsSemiMixedTypes="0" containsString="0" containsNumber="1" containsInteger="1" minValue="60" maxValue="359"/>
    </cacheField>
    <cacheField name="Conversions" numFmtId="0">
      <sharedItems containsSemiMixedTypes="0" containsString="0" containsNumber="1" containsInteger="1" minValue="1" maxValue="44"/>
    </cacheField>
    <cacheField name="Conversion Rate " numFmtId="0">
      <sharedItems containsSemiMixedTypes="0" containsString="0" containsNumber="1" minValue="0.17" maxValue="78"/>
    </cacheField>
    <cacheField name="Bounce Rate %" numFmtId="9">
      <sharedItems containsSemiMixedTypes="0" containsString="0" containsNumber="1" minValue="0.25" maxValue="0.69900000000000007"/>
    </cacheField>
    <cacheField name="conversion rate %" numFmtId="9">
      <sharedItems containsSemiMixedTypes="0" containsString="0" containsNumber="1" minValue="1.7000000000000001E-3" maxValue="0.78"/>
    </cacheField>
    <cacheField name="Avg session duration (min)" numFmtId="1">
      <sharedItems containsSemiMixedTypes="0" containsString="0" containsNumber="1" minValue="1" maxValue="5.98333333333333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d v="2025-01-01T00:00:00"/>
    <s v="18:09:38"/>
    <x v="0"/>
    <n v="153"/>
    <n v="67.33"/>
    <n v="82"/>
    <n v="7"/>
    <n v="4.58"/>
    <n v="0.67330000000000001"/>
    <n v="4.58E-2"/>
    <n v="1.3666666666666667"/>
  </r>
  <r>
    <d v="2025-01-02T00:00:00"/>
    <s v="04:49:41"/>
    <x v="1"/>
    <n v="202"/>
    <n v="57.85"/>
    <n v="226"/>
    <n v="6"/>
    <n v="2.97"/>
    <n v="0.57850000000000001"/>
    <n v="2.9700000000000001E-2"/>
    <n v="3.7666666666666666"/>
  </r>
  <r>
    <d v="2025-01-03T00:00:00"/>
    <s v="22:28:35"/>
    <x v="2"/>
    <n v="318"/>
    <n v="60.01"/>
    <n v="329"/>
    <n v="24"/>
    <n v="7.55"/>
    <n v="0.60009999999999997"/>
    <n v="7.5499999999999998E-2"/>
    <n v="5.4833333333333334"/>
  </r>
  <r>
    <d v="2025-01-04T00:00:00"/>
    <s v="00:18:55"/>
    <x v="3"/>
    <n v="276"/>
    <n v="36.200000000000003"/>
    <n v="329"/>
    <n v="33"/>
    <n v="11.96"/>
    <n v="0.36200000000000004"/>
    <n v="0.11960000000000001"/>
    <n v="5.4833333333333334"/>
  </r>
  <r>
    <d v="2025-01-05T00:00:00"/>
    <s v="09:10:07"/>
    <x v="4"/>
    <n v="245"/>
    <n v="56.18"/>
    <n v="330"/>
    <n v="44"/>
    <n v="17.96"/>
    <n v="0.56179999999999997"/>
    <n v="0.17960000000000001"/>
    <n v="5.5"/>
  </r>
  <r>
    <d v="2025-01-06T00:00:00"/>
    <s v="02:16:51"/>
    <x v="5"/>
    <n v="174"/>
    <n v="27.73"/>
    <n v="140"/>
    <n v="32"/>
    <n v="18.39"/>
    <n v="0.27729999999999999"/>
    <n v="0.18390000000000001"/>
    <n v="2.3333333333333335"/>
  </r>
  <r>
    <d v="2025-01-07T00:00:00"/>
    <s v="22:19:47"/>
    <x v="5"/>
    <n v="387"/>
    <n v="48.66"/>
    <n v="66"/>
    <n v="43"/>
    <n v="11.11"/>
    <n v="0.48659999999999998"/>
    <n v="0.11109999999999999"/>
    <n v="1.1000000000000001"/>
  </r>
  <r>
    <d v="2025-01-08T00:00:00"/>
    <s v="15:50:54"/>
    <x v="0"/>
    <n v="179"/>
    <n v="67.14"/>
    <n v="216"/>
    <n v="5"/>
    <n v="2.79"/>
    <n v="0.6714"/>
    <n v="2.7900000000000001E-2"/>
    <n v="3.6"/>
  </r>
  <r>
    <d v="2025-01-09T00:00:00"/>
    <s v="17:14:52"/>
    <x v="2"/>
    <n v="546"/>
    <n v="30.3"/>
    <n v="98"/>
    <n v="17"/>
    <n v="3.11"/>
    <n v="0.30299999999999999"/>
    <n v="3.1099999999999999E-2"/>
    <n v="1.6333333333333333"/>
  </r>
  <r>
    <d v="2025-01-10T00:00:00"/>
    <s v="09:40:21"/>
    <x v="5"/>
    <n v="228"/>
    <n v="60.84"/>
    <n v="122"/>
    <n v="3"/>
    <n v="1.32"/>
    <n v="0.60840000000000005"/>
    <n v="1.32E-2"/>
    <n v="2.0333333333333332"/>
  </r>
  <r>
    <d v="2025-01-11T00:00:00"/>
    <s v="13:26:35"/>
    <x v="3"/>
    <n v="244"/>
    <n v="32.31"/>
    <n v="192"/>
    <n v="6"/>
    <n v="2.46"/>
    <n v="0.3231"/>
    <n v="2.46E-2"/>
    <n v="3.2"/>
  </r>
  <r>
    <d v="2025-01-12T00:00:00"/>
    <s v="10:49:06"/>
    <x v="1"/>
    <n v="161"/>
    <n v="27.7"/>
    <n v="163"/>
    <n v="23"/>
    <n v="14.29"/>
    <n v="0.27699999999999997"/>
    <n v="0.1429"/>
    <n v="2.7166666666666668"/>
  </r>
  <r>
    <d v="2025-01-13T00:00:00"/>
    <s v="14:13:40"/>
    <x v="2"/>
    <n v="186"/>
    <n v="61.59"/>
    <n v="116"/>
    <n v="30"/>
    <n v="16.13"/>
    <n v="0.6159"/>
    <n v="0.1613"/>
    <n v="1.9333333333333333"/>
  </r>
  <r>
    <d v="2025-01-14T00:00:00"/>
    <s v="20:30:46"/>
    <x v="0"/>
    <n v="134"/>
    <n v="63.27"/>
    <n v="102"/>
    <n v="25"/>
    <n v="18.66"/>
    <n v="0.63270000000000004"/>
    <n v="0.18659999999999999"/>
    <n v="1.7"/>
  </r>
  <r>
    <d v="2025-01-15T00:00:00"/>
    <s v="12:51:57"/>
    <x v="2"/>
    <n v="363"/>
    <n v="53.47"/>
    <n v="255"/>
    <n v="21"/>
    <n v="5.79"/>
    <n v="0.53469999999999995"/>
    <n v="5.79E-2"/>
    <n v="4.25"/>
  </r>
  <r>
    <d v="2025-01-16T00:00:00"/>
    <s v="04:44:08"/>
    <x v="4"/>
    <n v="433"/>
    <n v="33.26"/>
    <n v="271"/>
    <n v="21"/>
    <n v="4.8499999999999996"/>
    <n v="0.33260000000000001"/>
    <n v="4.8499999999999995E-2"/>
    <n v="4.5166666666666666"/>
  </r>
  <r>
    <d v="2025-01-17T00:00:00"/>
    <s v="23:04:11"/>
    <x v="0"/>
    <n v="508"/>
    <n v="60.4"/>
    <n v="154"/>
    <n v="19"/>
    <n v="3.74"/>
    <n v="0.60399999999999998"/>
    <n v="3.7400000000000003E-2"/>
    <n v="2.5666666666666669"/>
  </r>
  <r>
    <d v="2025-01-18T00:00:00"/>
    <s v="23:05:06"/>
    <x v="5"/>
    <n v="210"/>
    <n v="64.05"/>
    <n v="251"/>
    <n v="2"/>
    <n v="0.95"/>
    <n v="0.64049999999999996"/>
    <n v="9.4999999999999998E-3"/>
    <n v="4.1833333333333336"/>
  </r>
  <r>
    <d v="2025-01-19T00:00:00"/>
    <s v="08:07:27"/>
    <x v="4"/>
    <n v="304"/>
    <n v="61.07"/>
    <n v="332"/>
    <n v="15"/>
    <n v="4.93"/>
    <n v="0.61070000000000002"/>
    <n v="4.9299999999999997E-2"/>
    <n v="5.5333333333333332"/>
  </r>
  <r>
    <d v="2025-01-20T00:00:00"/>
    <s v="00:07:23"/>
    <x v="0"/>
    <n v="78"/>
    <n v="54.32"/>
    <n v="134"/>
    <n v="25"/>
    <n v="32.049999999999997"/>
    <n v="0.54320000000000002"/>
    <n v="0.32049999999999995"/>
    <n v="2.2333333333333334"/>
  </r>
  <r>
    <d v="2025-01-21T00:00:00"/>
    <s v="01:10:40"/>
    <x v="5"/>
    <n v="129"/>
    <n v="68.56"/>
    <n v="324"/>
    <n v="6"/>
    <n v="4.6500000000000004"/>
    <n v="0.68559999999999999"/>
    <n v="4.6500000000000007E-2"/>
    <n v="5.4"/>
  </r>
  <r>
    <d v="2025-01-22T00:00:00"/>
    <s v="21:01:38"/>
    <x v="4"/>
    <n v="479"/>
    <n v="41.45"/>
    <n v="228"/>
    <n v="42"/>
    <n v="8.77"/>
    <n v="0.41450000000000004"/>
    <n v="8.77E-2"/>
    <n v="3.8"/>
  </r>
  <r>
    <d v="2025-01-23T00:00:00"/>
    <s v="05:21:30"/>
    <x v="0"/>
    <n v="379"/>
    <n v="29.94"/>
    <n v="190"/>
    <n v="33"/>
    <n v="8.7100000000000009"/>
    <n v="0.2994"/>
    <n v="8.7100000000000011E-2"/>
    <n v="3.1666666666666665"/>
  </r>
  <r>
    <d v="2025-01-24T00:00:00"/>
    <s v="05:21:04"/>
    <x v="5"/>
    <n v="91"/>
    <n v="42.45"/>
    <n v="231"/>
    <n v="5"/>
    <n v="5.49"/>
    <n v="0.42450000000000004"/>
    <n v="5.4900000000000004E-2"/>
    <n v="3.85"/>
  </r>
  <r>
    <d v="2025-01-25T00:00:00"/>
    <s v="18:31:24"/>
    <x v="4"/>
    <n v="342"/>
    <n v="66.13"/>
    <n v="91"/>
    <n v="21"/>
    <n v="6.14"/>
    <n v="0.6613"/>
    <n v="6.1399999999999996E-2"/>
    <n v="1.5166666666666666"/>
  </r>
  <r>
    <d v="2025-01-26T00:00:00"/>
    <s v="16:58:35"/>
    <x v="0"/>
    <n v="474"/>
    <n v="69.08"/>
    <n v="129"/>
    <n v="32"/>
    <n v="6.75"/>
    <n v="0.69079999999999997"/>
    <n v="6.7500000000000004E-2"/>
    <n v="2.15"/>
  </r>
  <r>
    <d v="2025-01-27T00:00:00"/>
    <s v="01:27:53"/>
    <x v="5"/>
    <n v="404"/>
    <n v="28.06"/>
    <n v="130"/>
    <n v="33"/>
    <n v="8.17"/>
    <n v="0.28059999999999996"/>
    <n v="8.1699999999999995E-2"/>
    <n v="2.1666666666666665"/>
  </r>
  <r>
    <d v="2025-01-28T00:00:00"/>
    <s v="07:58:50"/>
    <x v="1"/>
    <n v="109"/>
    <n v="28.34"/>
    <n v="132"/>
    <n v="30"/>
    <n v="27.52"/>
    <n v="0.28339999999999999"/>
    <n v="0.2752"/>
    <n v="2.2000000000000002"/>
  </r>
  <r>
    <d v="2025-01-29T00:00:00"/>
    <s v="20:31:41"/>
    <x v="3"/>
    <n v="385"/>
    <n v="50.03"/>
    <n v="227"/>
    <n v="11"/>
    <n v="2.86"/>
    <n v="0.50029999999999997"/>
    <n v="2.86E-2"/>
    <n v="3.7833333333333332"/>
  </r>
  <r>
    <d v="2025-01-30T00:00:00"/>
    <s v="07:01:29"/>
    <x v="5"/>
    <n v="181"/>
    <n v="36.19"/>
    <n v="207"/>
    <n v="28"/>
    <n v="15.47"/>
    <n v="0.3619"/>
    <n v="0.1547"/>
    <n v="3.45"/>
  </r>
  <r>
    <d v="2025-01-31T00:00:00"/>
    <s v="18:51:50"/>
    <x v="0"/>
    <n v="215"/>
    <n v="66.88"/>
    <n v="291"/>
    <n v="24"/>
    <n v="11.16"/>
    <n v="0.66879999999999995"/>
    <n v="0.1116"/>
    <n v="4.8499999999999996"/>
  </r>
  <r>
    <d v="2025-02-01T00:00:00"/>
    <s v="19:52:18"/>
    <x v="5"/>
    <n v="420"/>
    <n v="51.95"/>
    <n v="231"/>
    <n v="11"/>
    <n v="2.62"/>
    <n v="0.51950000000000007"/>
    <n v="2.6200000000000001E-2"/>
    <n v="3.85"/>
  </r>
  <r>
    <d v="2025-02-02T00:00:00"/>
    <s v="04:13:19"/>
    <x v="2"/>
    <n v="136"/>
    <n v="53.07"/>
    <n v="289"/>
    <n v="18"/>
    <n v="13.24"/>
    <n v="0.53069999999999995"/>
    <n v="0.13239999999999999"/>
    <n v="4.8166666666666664"/>
  </r>
  <r>
    <d v="2025-02-03T00:00:00"/>
    <s v="20:22:33"/>
    <x v="5"/>
    <n v="64"/>
    <n v="44.03"/>
    <n v="145"/>
    <n v="41"/>
    <n v="64.06"/>
    <n v="0.44030000000000002"/>
    <n v="0.64060000000000006"/>
    <n v="2.4166666666666665"/>
  </r>
  <r>
    <d v="2025-02-04T00:00:00"/>
    <s v="14:32:40"/>
    <x v="2"/>
    <n v="228"/>
    <n v="50.14"/>
    <n v="236"/>
    <n v="22"/>
    <n v="9.65"/>
    <n v="0.50139999999999996"/>
    <n v="9.6500000000000002E-2"/>
    <n v="3.9333333333333331"/>
  </r>
  <r>
    <d v="2025-02-05T00:00:00"/>
    <s v="13:46:08"/>
    <x v="1"/>
    <n v="414"/>
    <n v="31.35"/>
    <n v="112"/>
    <n v="39"/>
    <n v="9.42"/>
    <n v="0.3135"/>
    <n v="9.4200000000000006E-2"/>
    <n v="1.8666666666666667"/>
  </r>
  <r>
    <d v="2025-02-06T00:00:00"/>
    <s v="09:30:55"/>
    <x v="1"/>
    <n v="343"/>
    <n v="32.72"/>
    <n v="221"/>
    <n v="9"/>
    <n v="2.62"/>
    <n v="0.32719999999999999"/>
    <n v="2.6200000000000001E-2"/>
    <n v="3.6833333333333331"/>
  </r>
  <r>
    <d v="2025-02-07T00:00:00"/>
    <s v="18:06:32"/>
    <x v="2"/>
    <n v="363"/>
    <n v="56.66"/>
    <n v="281"/>
    <n v="11"/>
    <n v="3.03"/>
    <n v="0.56659999999999999"/>
    <n v="3.0299999999999997E-2"/>
    <n v="4.6833333333333336"/>
  </r>
  <r>
    <d v="2025-02-08T00:00:00"/>
    <s v="21:31:50"/>
    <x v="5"/>
    <n v="544"/>
    <n v="61.55"/>
    <n v="198"/>
    <n v="4"/>
    <n v="0.74"/>
    <n v="0.61549999999999994"/>
    <n v="7.4000000000000003E-3"/>
    <n v="3.3"/>
  </r>
  <r>
    <d v="2025-02-09T00:00:00"/>
    <s v="06:34:57"/>
    <x v="2"/>
    <n v="393"/>
    <n v="53.75"/>
    <n v="308"/>
    <n v="31"/>
    <n v="7.89"/>
    <n v="0.53749999999999998"/>
    <n v="7.8899999999999998E-2"/>
    <n v="5.1333333333333337"/>
  </r>
  <r>
    <d v="2025-02-10T00:00:00"/>
    <s v="15:19:07"/>
    <x v="5"/>
    <n v="317"/>
    <n v="26.88"/>
    <n v="207"/>
    <n v="3"/>
    <n v="0.95"/>
    <n v="0.26879999999999998"/>
    <n v="9.4999999999999998E-3"/>
    <n v="3.45"/>
  </r>
  <r>
    <d v="2025-02-11T00:00:00"/>
    <s v="19:28:16"/>
    <x v="2"/>
    <n v="588"/>
    <n v="58.54"/>
    <n v="149"/>
    <n v="1"/>
    <n v="0.17"/>
    <n v="0.58540000000000003"/>
    <n v="1.7000000000000001E-3"/>
    <n v="2.4833333333333334"/>
  </r>
  <r>
    <d v="2025-02-12T00:00:00"/>
    <s v="01:29:10"/>
    <x v="3"/>
    <n v="551"/>
    <n v="44"/>
    <n v="209"/>
    <n v="38"/>
    <n v="6.9"/>
    <n v="0.44"/>
    <n v="6.9000000000000006E-2"/>
    <n v="3.4833333333333334"/>
  </r>
  <r>
    <d v="2025-02-13T00:00:00"/>
    <s v="19:30:48"/>
    <x v="2"/>
    <n v="340"/>
    <n v="38.58"/>
    <n v="272"/>
    <n v="39"/>
    <n v="11.47"/>
    <n v="0.38579999999999998"/>
    <n v="0.11470000000000001"/>
    <n v="4.5333333333333332"/>
  </r>
  <r>
    <d v="2025-02-14T00:00:00"/>
    <s v="16:57:21"/>
    <x v="5"/>
    <n v="245"/>
    <n v="25"/>
    <n v="298"/>
    <n v="37"/>
    <n v="15.1"/>
    <n v="0.25"/>
    <n v="0.151"/>
    <n v="4.9666666666666668"/>
  </r>
  <r>
    <d v="2025-02-15T00:00:00"/>
    <s v="14:22:07"/>
    <x v="3"/>
    <n v="566"/>
    <n v="30.78"/>
    <n v="83"/>
    <n v="22"/>
    <n v="3.89"/>
    <n v="0.30780000000000002"/>
    <n v="3.8900000000000004E-2"/>
    <n v="1.3833333333333333"/>
  </r>
  <r>
    <d v="2025-02-16T00:00:00"/>
    <s v="07:28:40"/>
    <x v="2"/>
    <n v="185"/>
    <n v="27.33"/>
    <n v="63"/>
    <n v="34"/>
    <n v="18.38"/>
    <n v="0.27329999999999999"/>
    <n v="0.18379999999999999"/>
    <n v="1.05"/>
  </r>
  <r>
    <d v="2025-02-17T00:00:00"/>
    <s v="02:57:23"/>
    <x v="4"/>
    <n v="284"/>
    <n v="52.26"/>
    <n v="342"/>
    <n v="24"/>
    <n v="8.4499999999999993"/>
    <n v="0.52259999999999995"/>
    <n v="8.4499999999999992E-2"/>
    <n v="5.7"/>
  </r>
  <r>
    <d v="2025-02-18T00:00:00"/>
    <s v="19:05:13"/>
    <x v="0"/>
    <n v="308"/>
    <n v="43.12"/>
    <n v="165"/>
    <n v="6"/>
    <n v="1.95"/>
    <n v="0.43119999999999997"/>
    <n v="1.95E-2"/>
    <n v="2.75"/>
  </r>
  <r>
    <d v="2025-02-19T00:00:00"/>
    <s v="15:16:59"/>
    <x v="3"/>
    <n v="122"/>
    <n v="40.11"/>
    <n v="338"/>
    <n v="20"/>
    <n v="16.39"/>
    <n v="0.40110000000000001"/>
    <n v="0.16390000000000002"/>
    <n v="5.6333333333333337"/>
  </r>
  <r>
    <d v="2025-02-20T00:00:00"/>
    <s v="19:14:35"/>
    <x v="2"/>
    <n v="566"/>
    <n v="48.77"/>
    <n v="153"/>
    <n v="41"/>
    <n v="7.24"/>
    <n v="0.48770000000000002"/>
    <n v="7.2400000000000006E-2"/>
    <n v="2.5499999999999998"/>
  </r>
  <r>
    <d v="2025-02-21T00:00:00"/>
    <s v="15:36:19"/>
    <x v="2"/>
    <n v="562"/>
    <n v="44.53"/>
    <n v="86"/>
    <n v="3"/>
    <n v="0.53"/>
    <n v="0.44530000000000003"/>
    <n v="5.3E-3"/>
    <n v="1.4333333333333333"/>
  </r>
  <r>
    <d v="2025-02-22T00:00:00"/>
    <s v="22:15:43"/>
    <x v="5"/>
    <n v="582"/>
    <n v="46.01"/>
    <n v="145"/>
    <n v="27"/>
    <n v="4.6399999999999997"/>
    <n v="0.46009999999999995"/>
    <n v="4.6399999999999997E-2"/>
    <n v="2.4166666666666665"/>
  </r>
  <r>
    <d v="2025-02-23T00:00:00"/>
    <s v="14:21:01"/>
    <x v="5"/>
    <n v="527"/>
    <n v="44.44"/>
    <n v="147"/>
    <n v="6"/>
    <n v="1.1399999999999999"/>
    <n v="0.44439999999999996"/>
    <n v="1.1399999999999999E-2"/>
    <n v="2.4500000000000002"/>
  </r>
  <r>
    <d v="2025-02-24T00:00:00"/>
    <s v="05:29:24"/>
    <x v="2"/>
    <n v="593"/>
    <n v="51.34"/>
    <n v="122"/>
    <n v="12"/>
    <n v="2.02"/>
    <n v="0.51340000000000008"/>
    <n v="2.0199999999999999E-2"/>
    <n v="2.0333333333333332"/>
  </r>
  <r>
    <d v="2025-02-25T00:00:00"/>
    <s v="06:20:41"/>
    <x v="0"/>
    <n v="418"/>
    <n v="49.5"/>
    <n v="334"/>
    <n v="39"/>
    <n v="9.33"/>
    <n v="0.495"/>
    <n v="9.3299999999999994E-2"/>
    <n v="5.5666666666666664"/>
  </r>
  <r>
    <d v="2025-02-26T00:00:00"/>
    <s v="00:24:37"/>
    <x v="0"/>
    <n v="418"/>
    <n v="69.900000000000006"/>
    <n v="347"/>
    <n v="34"/>
    <n v="8.1300000000000008"/>
    <n v="0.69900000000000007"/>
    <n v="8.1300000000000011E-2"/>
    <n v="5.7833333333333332"/>
  </r>
  <r>
    <d v="2025-02-27T00:00:00"/>
    <s v="12:31:31"/>
    <x v="3"/>
    <n v="284"/>
    <n v="42.11"/>
    <n v="284"/>
    <n v="21"/>
    <n v="7.39"/>
    <n v="0.42109999999999997"/>
    <n v="7.3899999999999993E-2"/>
    <n v="4.7333333333333334"/>
  </r>
  <r>
    <d v="2025-02-28T00:00:00"/>
    <s v="22:31:36"/>
    <x v="5"/>
    <n v="200"/>
    <n v="49.15"/>
    <n v="139"/>
    <n v="4"/>
    <n v="2"/>
    <n v="0.49149999999999999"/>
    <n v="0.02"/>
    <n v="2.3166666666666669"/>
  </r>
  <r>
    <d v="2025-03-01T00:00:00"/>
    <s v="18:45:46"/>
    <x v="3"/>
    <n v="164"/>
    <n v="62.11"/>
    <n v="166"/>
    <n v="5"/>
    <n v="3.05"/>
    <n v="0.62109999999999999"/>
    <n v="3.0499999999999999E-2"/>
    <n v="2.7666666666666666"/>
  </r>
  <r>
    <d v="2025-03-02T00:00:00"/>
    <s v="15:03:45"/>
    <x v="4"/>
    <n v="212"/>
    <n v="30.67"/>
    <n v="346"/>
    <n v="7"/>
    <n v="3.3"/>
    <n v="0.30670000000000003"/>
    <n v="3.3000000000000002E-2"/>
    <n v="5.7666666666666666"/>
  </r>
  <r>
    <d v="2025-03-03T00:00:00"/>
    <s v="12:18:52"/>
    <x v="3"/>
    <n v="134"/>
    <n v="38.44"/>
    <n v="331"/>
    <n v="24"/>
    <n v="17.91"/>
    <n v="0.38439999999999996"/>
    <n v="0.17910000000000001"/>
    <n v="5.5166666666666666"/>
  </r>
  <r>
    <d v="2025-03-04T00:00:00"/>
    <s v="23:23:40"/>
    <x v="0"/>
    <n v="129"/>
    <n v="41.68"/>
    <n v="261"/>
    <n v="16"/>
    <n v="12.4"/>
    <n v="0.4168"/>
    <n v="0.124"/>
    <n v="4.3499999999999996"/>
  </r>
  <r>
    <d v="2025-03-05T00:00:00"/>
    <s v="04:56:32"/>
    <x v="2"/>
    <n v="454"/>
    <n v="44.41"/>
    <n v="95"/>
    <n v="30"/>
    <n v="6.61"/>
    <n v="0.44409999999999994"/>
    <n v="6.6100000000000006E-2"/>
    <n v="1.5833333333333333"/>
  </r>
  <r>
    <d v="2025-03-06T00:00:00"/>
    <s v="22:02:56"/>
    <x v="5"/>
    <n v="451"/>
    <n v="50.22"/>
    <n v="204"/>
    <n v="37"/>
    <n v="8.1999999999999993"/>
    <n v="0.50219999999999998"/>
    <n v="8.199999999999999E-2"/>
    <n v="3.4"/>
  </r>
  <r>
    <d v="2025-03-07T00:00:00"/>
    <s v="04:12:55"/>
    <x v="0"/>
    <n v="444"/>
    <n v="69.709999999999994"/>
    <n v="220"/>
    <n v="8"/>
    <n v="1.8"/>
    <n v="0.69709999999999994"/>
    <n v="1.8000000000000002E-2"/>
    <n v="3.6666666666666665"/>
  </r>
  <r>
    <d v="2025-03-08T00:00:00"/>
    <s v="14:48:24"/>
    <x v="4"/>
    <n v="50"/>
    <n v="47"/>
    <n v="200"/>
    <n v="39"/>
    <n v="78"/>
    <n v="0.47"/>
    <n v="0.78"/>
    <n v="3.3333333333333335"/>
  </r>
  <r>
    <d v="2025-03-09T00:00:00"/>
    <s v="12:49:39"/>
    <x v="4"/>
    <n v="276"/>
    <n v="45.26"/>
    <n v="71"/>
    <n v="44"/>
    <n v="15.94"/>
    <n v="0.4526"/>
    <n v="0.15939999999999999"/>
    <n v="1.1833333333333333"/>
  </r>
  <r>
    <d v="2025-03-10T00:00:00"/>
    <s v="17:33:44"/>
    <x v="1"/>
    <n v="169"/>
    <n v="63.19"/>
    <n v="251"/>
    <n v="7"/>
    <n v="4.1399999999999997"/>
    <n v="0.63190000000000002"/>
    <n v="4.1399999999999999E-2"/>
    <n v="4.1833333333333336"/>
  </r>
  <r>
    <d v="2025-03-11T00:00:00"/>
    <s v="05:09:22"/>
    <x v="5"/>
    <n v="168"/>
    <n v="59.5"/>
    <n v="217"/>
    <n v="12"/>
    <n v="7.14"/>
    <n v="0.59499999999999997"/>
    <n v="7.1399999999999991E-2"/>
    <n v="3.6166666666666667"/>
  </r>
  <r>
    <d v="2025-03-12T00:00:00"/>
    <s v="16:12:42"/>
    <x v="1"/>
    <n v="206"/>
    <n v="42.84"/>
    <n v="223"/>
    <n v="6"/>
    <n v="2.91"/>
    <n v="0.42840000000000006"/>
    <n v="2.9100000000000001E-2"/>
    <n v="3.7166666666666668"/>
  </r>
  <r>
    <d v="2025-03-13T00:00:00"/>
    <s v="11:05:41"/>
    <x v="0"/>
    <n v="475"/>
    <n v="66.75"/>
    <n v="76"/>
    <n v="25"/>
    <n v="5.26"/>
    <n v="0.66749999999999998"/>
    <n v="5.2600000000000001E-2"/>
    <n v="1.2666666666666666"/>
  </r>
  <r>
    <d v="2025-03-14T00:00:00"/>
    <s v="06:49:39"/>
    <x v="2"/>
    <n v="223"/>
    <n v="36.86"/>
    <n v="209"/>
    <n v="30"/>
    <n v="13.45"/>
    <n v="0.36859999999999998"/>
    <n v="0.13449999999999998"/>
    <n v="3.4833333333333334"/>
  </r>
  <r>
    <d v="2025-03-15T00:00:00"/>
    <s v="09:18:06"/>
    <x v="5"/>
    <n v="494"/>
    <n v="66.84"/>
    <n v="222"/>
    <n v="11"/>
    <n v="2.23"/>
    <n v="0.66839999999999999"/>
    <n v="2.23E-2"/>
    <n v="3.7"/>
  </r>
  <r>
    <d v="2025-03-16T00:00:00"/>
    <s v="02:15:56"/>
    <x v="3"/>
    <n v="264"/>
    <n v="58.19"/>
    <n v="112"/>
    <n v="30"/>
    <n v="11.36"/>
    <n v="0.58189999999999997"/>
    <n v="0.11359999999999999"/>
    <n v="1.8666666666666667"/>
  </r>
  <r>
    <d v="2025-03-17T00:00:00"/>
    <s v="05:30:13"/>
    <x v="5"/>
    <n v="137"/>
    <n v="57.31"/>
    <n v="262"/>
    <n v="43"/>
    <n v="31.39"/>
    <n v="0.57310000000000005"/>
    <n v="0.31390000000000001"/>
    <n v="4.3666666666666663"/>
  </r>
  <r>
    <d v="2025-03-18T00:00:00"/>
    <s v="15:01:03"/>
    <x v="0"/>
    <n v="526"/>
    <n v="62.13"/>
    <n v="151"/>
    <n v="37"/>
    <n v="7.03"/>
    <n v="0.62130000000000007"/>
    <n v="7.0300000000000001E-2"/>
    <n v="2.5166666666666666"/>
  </r>
  <r>
    <d v="2025-03-19T00:00:00"/>
    <s v="22:20:36"/>
    <x v="2"/>
    <n v="293"/>
    <n v="47.36"/>
    <n v="181"/>
    <n v="26"/>
    <n v="8.8699999999999992"/>
    <n v="0.47360000000000002"/>
    <n v="8.8699999999999987E-2"/>
    <n v="3.0166666666666666"/>
  </r>
  <r>
    <d v="2025-03-20T00:00:00"/>
    <s v="06:15:07"/>
    <x v="2"/>
    <n v="426"/>
    <n v="37.28"/>
    <n v="241"/>
    <n v="11"/>
    <n v="2.58"/>
    <n v="0.37280000000000002"/>
    <n v="2.58E-2"/>
    <n v="4.0166666666666666"/>
  </r>
  <r>
    <d v="2025-03-21T00:00:00"/>
    <s v="04:50:41"/>
    <x v="2"/>
    <n v="61"/>
    <n v="50.07"/>
    <n v="333"/>
    <n v="23"/>
    <n v="37.700000000000003"/>
    <n v="0.50070000000000003"/>
    <n v="0.377"/>
    <n v="5.55"/>
  </r>
  <r>
    <d v="2025-03-22T00:00:00"/>
    <s v="14:45:08"/>
    <x v="0"/>
    <n v="456"/>
    <n v="67.05"/>
    <n v="82"/>
    <n v="17"/>
    <n v="3.73"/>
    <n v="0.67049999999999998"/>
    <n v="3.73E-2"/>
    <n v="1.3666666666666667"/>
  </r>
  <r>
    <d v="2025-03-23T00:00:00"/>
    <s v="21:23:24"/>
    <x v="2"/>
    <n v="143"/>
    <n v="60.22"/>
    <n v="151"/>
    <n v="17"/>
    <n v="11.89"/>
    <n v="0.60219999999999996"/>
    <n v="0.11890000000000001"/>
    <n v="2.5166666666666666"/>
  </r>
  <r>
    <d v="2025-03-24T00:00:00"/>
    <s v="14:15:04"/>
    <x v="2"/>
    <n v="409"/>
    <n v="27.98"/>
    <n v="63"/>
    <n v="35"/>
    <n v="8.56"/>
    <n v="0.27979999999999999"/>
    <n v="8.5600000000000009E-2"/>
    <n v="1.05"/>
  </r>
  <r>
    <d v="2025-03-25T00:00:00"/>
    <s v="17:02:10"/>
    <x v="1"/>
    <n v="360"/>
    <n v="42.08"/>
    <n v="265"/>
    <n v="17"/>
    <n v="4.72"/>
    <n v="0.42080000000000001"/>
    <n v="4.7199999999999999E-2"/>
    <n v="4.416666666666667"/>
  </r>
  <r>
    <d v="2025-03-26T00:00:00"/>
    <s v="00:11:37"/>
    <x v="1"/>
    <n v="442"/>
    <n v="30.78"/>
    <n v="133"/>
    <n v="13"/>
    <n v="2.94"/>
    <n v="0.30780000000000002"/>
    <n v="2.9399999999999999E-2"/>
    <n v="2.2166666666666668"/>
  </r>
  <r>
    <d v="2025-03-27T00:00:00"/>
    <s v="05:23:21"/>
    <x v="5"/>
    <n v="140"/>
    <n v="57.34"/>
    <n v="74"/>
    <n v="4"/>
    <n v="2.86"/>
    <n v="0.57340000000000002"/>
    <n v="2.86E-2"/>
    <n v="1.2333333333333334"/>
  </r>
  <r>
    <d v="2025-03-28T00:00:00"/>
    <s v="23:17:03"/>
    <x v="5"/>
    <n v="195"/>
    <n v="54.92"/>
    <n v="137"/>
    <n v="27"/>
    <n v="13.85"/>
    <n v="0.54920000000000002"/>
    <n v="0.13849999999999998"/>
    <n v="2.2833333333333332"/>
  </r>
  <r>
    <d v="2025-03-29T00:00:00"/>
    <s v="19:00:48"/>
    <x v="1"/>
    <n v="194"/>
    <n v="60.78"/>
    <n v="357"/>
    <n v="29"/>
    <n v="14.95"/>
    <n v="0.60780000000000001"/>
    <n v="0.14949999999999999"/>
    <n v="5.95"/>
  </r>
  <r>
    <d v="2025-03-30T00:00:00"/>
    <s v="17:47:15"/>
    <x v="1"/>
    <n v="106"/>
    <n v="27.38"/>
    <n v="218"/>
    <n v="38"/>
    <n v="35.85"/>
    <n v="0.27379999999999999"/>
    <n v="0.35850000000000004"/>
    <n v="3.6333333333333333"/>
  </r>
  <r>
    <d v="2025-03-31T00:00:00"/>
    <s v="12:01:59"/>
    <x v="3"/>
    <n v="295"/>
    <n v="54.72"/>
    <n v="163"/>
    <n v="26"/>
    <n v="8.81"/>
    <n v="0.54720000000000002"/>
    <n v="8.8100000000000012E-2"/>
    <n v="2.7166666666666668"/>
  </r>
  <r>
    <d v="2025-04-01T00:00:00"/>
    <s v="05:45:22"/>
    <x v="1"/>
    <n v="224"/>
    <n v="33.049999999999997"/>
    <n v="336"/>
    <n v="36"/>
    <n v="16.07"/>
    <n v="0.33049999999999996"/>
    <n v="0.16070000000000001"/>
    <n v="5.6"/>
  </r>
  <r>
    <d v="2025-04-02T00:00:00"/>
    <s v="17:55:06"/>
    <x v="4"/>
    <n v="117"/>
    <n v="55.07"/>
    <n v="292"/>
    <n v="23"/>
    <n v="19.66"/>
    <n v="0.55069999999999997"/>
    <n v="0.1966"/>
    <n v="4.8666666666666663"/>
  </r>
  <r>
    <d v="2025-04-03T00:00:00"/>
    <s v="16:01:08"/>
    <x v="0"/>
    <n v="290"/>
    <n v="68.89"/>
    <n v="284"/>
    <n v="9"/>
    <n v="3.1"/>
    <n v="0.68889999999999996"/>
    <n v="3.1E-2"/>
    <n v="4.7333333333333334"/>
  </r>
  <r>
    <d v="2025-04-04T00:00:00"/>
    <s v="09:22:46"/>
    <x v="1"/>
    <n v="342"/>
    <n v="30.08"/>
    <n v="255"/>
    <n v="2"/>
    <n v="0.57999999999999996"/>
    <n v="0.30079999999999996"/>
    <n v="5.7999999999999996E-3"/>
    <n v="4.25"/>
  </r>
  <r>
    <d v="2025-04-05T00:00:00"/>
    <s v="16:44:19"/>
    <x v="2"/>
    <n v="81"/>
    <n v="50.38"/>
    <n v="193"/>
    <n v="32"/>
    <n v="39.51"/>
    <n v="0.50380000000000003"/>
    <n v="0.39510000000000001"/>
    <n v="3.2166666666666668"/>
  </r>
  <r>
    <d v="2025-04-06T00:00:00"/>
    <s v="05:35:58"/>
    <x v="5"/>
    <n v="354"/>
    <n v="68.69"/>
    <n v="243"/>
    <n v="42"/>
    <n v="11.86"/>
    <n v="0.68689999999999996"/>
    <n v="0.1186"/>
    <n v="4.05"/>
  </r>
  <r>
    <d v="2025-04-07T00:00:00"/>
    <s v="06:52:23"/>
    <x v="1"/>
    <n v="237"/>
    <n v="42.25"/>
    <n v="285"/>
    <n v="31"/>
    <n v="13.08"/>
    <n v="0.42249999999999999"/>
    <n v="0.1308"/>
    <n v="4.75"/>
  </r>
  <r>
    <d v="2025-04-08T00:00:00"/>
    <s v="08:40:15"/>
    <x v="3"/>
    <n v="305"/>
    <n v="56.7"/>
    <n v="196"/>
    <n v="29"/>
    <n v="9.51"/>
    <n v="0.56700000000000006"/>
    <n v="9.5100000000000004E-2"/>
    <n v="3.2666666666666666"/>
  </r>
  <r>
    <d v="2025-04-09T00:00:00"/>
    <s v="04:20:26"/>
    <x v="0"/>
    <n v="370"/>
    <n v="40.07"/>
    <n v="281"/>
    <n v="5"/>
    <n v="1.35"/>
    <n v="0.4007"/>
    <n v="1.3500000000000002E-2"/>
    <n v="4.6833333333333336"/>
  </r>
  <r>
    <d v="2025-04-10T00:00:00"/>
    <s v="22:27:14"/>
    <x v="3"/>
    <n v="78"/>
    <n v="45.62"/>
    <n v="329"/>
    <n v="36"/>
    <n v="46.15"/>
    <n v="0.45619999999999999"/>
    <n v="0.46149999999999997"/>
    <n v="5.4833333333333334"/>
  </r>
  <r>
    <d v="2025-04-11T00:00:00"/>
    <s v="09:12:48"/>
    <x v="0"/>
    <n v="57"/>
    <n v="67.27"/>
    <n v="299"/>
    <n v="28"/>
    <n v="49.12"/>
    <n v="0.67269999999999996"/>
    <n v="0.49119999999999997"/>
    <n v="4.9833333333333334"/>
  </r>
  <r>
    <d v="2025-04-12T00:00:00"/>
    <s v="09:55:45"/>
    <x v="2"/>
    <n v="396"/>
    <n v="28.23"/>
    <n v="99"/>
    <n v="37"/>
    <n v="9.34"/>
    <n v="0.2823"/>
    <n v="9.3399999999999997E-2"/>
    <n v="1.65"/>
  </r>
  <r>
    <d v="2025-04-13T00:00:00"/>
    <s v="18:45:01"/>
    <x v="1"/>
    <n v="183"/>
    <n v="45.45"/>
    <n v="295"/>
    <n v="40"/>
    <n v="21.86"/>
    <n v="0.45450000000000002"/>
    <n v="0.21859999999999999"/>
    <n v="4.916666666666667"/>
  </r>
  <r>
    <d v="2025-04-14T00:00:00"/>
    <s v="15:45:15"/>
    <x v="2"/>
    <n v="382"/>
    <n v="25.68"/>
    <n v="162"/>
    <n v="27"/>
    <n v="7.07"/>
    <n v="0.25679999999999997"/>
    <n v="7.0699999999999999E-2"/>
    <n v="2.7"/>
  </r>
  <r>
    <d v="2025-04-15T00:00:00"/>
    <s v="06:54:52"/>
    <x v="5"/>
    <n v="263"/>
    <n v="48.9"/>
    <n v="89"/>
    <n v="10"/>
    <n v="3.8"/>
    <n v="0.48899999999999999"/>
    <n v="3.7999999999999999E-2"/>
    <n v="1.4833333333333334"/>
  </r>
  <r>
    <d v="2025-04-16T00:00:00"/>
    <s v="05:42:55"/>
    <x v="3"/>
    <n v="139"/>
    <n v="57.53"/>
    <n v="285"/>
    <n v="27"/>
    <n v="19.420000000000002"/>
    <n v="0.57530000000000003"/>
    <n v="0.19420000000000001"/>
    <n v="4.75"/>
  </r>
  <r>
    <d v="2025-04-17T00:00:00"/>
    <s v="14:19:34"/>
    <x v="1"/>
    <n v="428"/>
    <n v="61.29"/>
    <n v="72"/>
    <n v="30"/>
    <n v="7.01"/>
    <n v="0.6129"/>
    <n v="7.0099999999999996E-2"/>
    <n v="1.2"/>
  </r>
  <r>
    <d v="2025-04-18T00:00:00"/>
    <s v="12:55:59"/>
    <x v="1"/>
    <n v="71"/>
    <n v="40.590000000000003"/>
    <n v="117"/>
    <n v="43"/>
    <n v="60.56"/>
    <n v="0.40590000000000004"/>
    <n v="0.60560000000000003"/>
    <n v="1.95"/>
  </r>
  <r>
    <d v="2025-04-19T00:00:00"/>
    <s v="05:37:28"/>
    <x v="0"/>
    <n v="157"/>
    <n v="57.2"/>
    <n v="228"/>
    <n v="20"/>
    <n v="12.74"/>
    <n v="0.57200000000000006"/>
    <n v="0.12740000000000001"/>
    <n v="3.8"/>
  </r>
  <r>
    <d v="2025-04-20T00:00:00"/>
    <s v="18:56:48"/>
    <x v="2"/>
    <n v="426"/>
    <n v="62.46"/>
    <n v="180"/>
    <n v="5"/>
    <n v="1.17"/>
    <n v="0.62460000000000004"/>
    <n v="1.1699999999999999E-2"/>
    <n v="3"/>
  </r>
  <r>
    <d v="2025-04-21T00:00:00"/>
    <s v="14:28:38"/>
    <x v="5"/>
    <n v="215"/>
    <n v="66.22"/>
    <n v="125"/>
    <n v="38"/>
    <n v="17.670000000000002"/>
    <n v="0.66220000000000001"/>
    <n v="0.17670000000000002"/>
    <n v="2.0833333333333335"/>
  </r>
  <r>
    <d v="2025-04-22T00:00:00"/>
    <s v="17:23:51"/>
    <x v="0"/>
    <n v="432"/>
    <n v="38.06"/>
    <n v="145"/>
    <n v="29"/>
    <n v="6.71"/>
    <n v="0.38060000000000005"/>
    <n v="6.7099999999999993E-2"/>
    <n v="2.4166666666666665"/>
  </r>
  <r>
    <d v="2025-04-23T00:00:00"/>
    <s v="02:49:04"/>
    <x v="5"/>
    <n v="463"/>
    <n v="61.55"/>
    <n v="279"/>
    <n v="42"/>
    <n v="9.07"/>
    <n v="0.61549999999999994"/>
    <n v="9.0700000000000003E-2"/>
    <n v="4.6500000000000004"/>
  </r>
  <r>
    <d v="2025-04-24T00:00:00"/>
    <s v="15:31:41"/>
    <x v="5"/>
    <n v="200"/>
    <n v="39.619999999999997"/>
    <n v="101"/>
    <n v="16"/>
    <n v="8"/>
    <n v="0.3962"/>
    <n v="0.08"/>
    <n v="1.6833333333333333"/>
  </r>
  <r>
    <d v="2025-04-25T00:00:00"/>
    <s v="12:43:27"/>
    <x v="1"/>
    <n v="82"/>
    <n v="26.47"/>
    <n v="280"/>
    <n v="29"/>
    <n v="35.369999999999997"/>
    <n v="0.26469999999999999"/>
    <n v="0.35369999999999996"/>
    <n v="4.666666666666667"/>
  </r>
  <r>
    <d v="2025-04-26T00:00:00"/>
    <s v="13:31:36"/>
    <x v="4"/>
    <n v="520"/>
    <n v="60.69"/>
    <n v="157"/>
    <n v="16"/>
    <n v="3.08"/>
    <n v="0.6069"/>
    <n v="3.0800000000000001E-2"/>
    <n v="2.6166666666666667"/>
  </r>
  <r>
    <d v="2025-04-27T00:00:00"/>
    <s v="11:52:33"/>
    <x v="0"/>
    <n v="60"/>
    <n v="29.88"/>
    <n v="328"/>
    <n v="25"/>
    <n v="41.67"/>
    <n v="0.29880000000000001"/>
    <n v="0.41670000000000001"/>
    <n v="5.4666666666666668"/>
  </r>
  <r>
    <d v="2025-04-28T00:00:00"/>
    <s v="11:03:22"/>
    <x v="0"/>
    <n v="383"/>
    <n v="36.96"/>
    <n v="194"/>
    <n v="30"/>
    <n v="7.83"/>
    <n v="0.36959999999999998"/>
    <n v="7.8299999999999995E-2"/>
    <n v="3.2333333333333334"/>
  </r>
  <r>
    <d v="2025-04-29T00:00:00"/>
    <s v="21:33:25"/>
    <x v="3"/>
    <n v="409"/>
    <n v="26.55"/>
    <n v="183"/>
    <n v="2"/>
    <n v="0.49"/>
    <n v="0.26550000000000001"/>
    <n v="4.8999999999999998E-3"/>
    <n v="3.05"/>
  </r>
  <r>
    <d v="2025-04-30T00:00:00"/>
    <s v="05:13:40"/>
    <x v="0"/>
    <n v="514"/>
    <n v="51.96"/>
    <n v="114"/>
    <n v="20"/>
    <n v="3.89"/>
    <n v="0.51960000000000006"/>
    <n v="3.8900000000000004E-2"/>
    <n v="1.9"/>
  </r>
  <r>
    <d v="2025-05-01T00:00:00"/>
    <s v="21:36:40"/>
    <x v="0"/>
    <n v="562"/>
    <n v="30.4"/>
    <n v="297"/>
    <n v="42"/>
    <n v="7.47"/>
    <n v="0.30399999999999999"/>
    <n v="7.4700000000000003E-2"/>
    <n v="4.95"/>
  </r>
  <r>
    <d v="2025-05-02T00:00:00"/>
    <s v="04:32:04"/>
    <x v="5"/>
    <n v="132"/>
    <n v="43.98"/>
    <n v="213"/>
    <n v="33"/>
    <n v="25"/>
    <n v="0.43979999999999997"/>
    <n v="0.25"/>
    <n v="3.55"/>
  </r>
  <r>
    <d v="2025-05-03T00:00:00"/>
    <s v="02:46:35"/>
    <x v="0"/>
    <n v="308"/>
    <n v="35.36"/>
    <n v="274"/>
    <n v="19"/>
    <n v="6.17"/>
    <n v="0.35359999999999997"/>
    <n v="6.1699999999999998E-2"/>
    <n v="4.5666666666666664"/>
  </r>
  <r>
    <d v="2025-05-04T00:00:00"/>
    <s v="00:38:02"/>
    <x v="1"/>
    <n v="64"/>
    <n v="55.05"/>
    <n v="269"/>
    <n v="4"/>
    <n v="6.25"/>
    <n v="0.55049999999999999"/>
    <n v="6.25E-2"/>
    <n v="4.4833333333333334"/>
  </r>
  <r>
    <d v="2025-05-05T00:00:00"/>
    <s v="05:53:51"/>
    <x v="1"/>
    <n v="372"/>
    <n v="43.87"/>
    <n v="108"/>
    <n v="33"/>
    <n v="8.8699999999999992"/>
    <n v="0.43869999999999998"/>
    <n v="8.8699999999999987E-2"/>
    <n v="1.8"/>
  </r>
  <r>
    <d v="2025-05-06T00:00:00"/>
    <s v="21:20:55"/>
    <x v="0"/>
    <n v="337"/>
    <n v="65.16"/>
    <n v="226"/>
    <n v="25"/>
    <n v="7.42"/>
    <n v="0.65159999999999996"/>
    <n v="7.4200000000000002E-2"/>
    <n v="3.7666666666666666"/>
  </r>
  <r>
    <d v="2025-05-07T00:00:00"/>
    <s v="06:29:47"/>
    <x v="5"/>
    <n v="127"/>
    <n v="36.86"/>
    <n v="242"/>
    <n v="36"/>
    <n v="28.35"/>
    <n v="0.36859999999999998"/>
    <n v="0.28350000000000003"/>
    <n v="4.0333333333333332"/>
  </r>
  <r>
    <d v="2025-05-08T00:00:00"/>
    <s v="04:16:57"/>
    <x v="1"/>
    <n v="526"/>
    <n v="51.04"/>
    <n v="281"/>
    <n v="1"/>
    <n v="0.19"/>
    <n v="0.51039999999999996"/>
    <n v="1.9E-3"/>
    <n v="4.6833333333333336"/>
  </r>
  <r>
    <d v="2025-05-09T00:00:00"/>
    <s v="02:17:48"/>
    <x v="4"/>
    <n v="219"/>
    <n v="29.39"/>
    <n v="156"/>
    <n v="16"/>
    <n v="7.31"/>
    <n v="0.29389999999999999"/>
    <n v="7.3099999999999998E-2"/>
    <n v="2.6"/>
  </r>
  <r>
    <d v="2025-05-10T00:00:00"/>
    <s v="10:07:05"/>
    <x v="2"/>
    <n v="204"/>
    <n v="52.45"/>
    <n v="130"/>
    <n v="25"/>
    <n v="12.25"/>
    <n v="0.52450000000000008"/>
    <n v="0.1225"/>
    <n v="2.1666666666666665"/>
  </r>
  <r>
    <d v="2025-05-11T00:00:00"/>
    <s v="22:09:35"/>
    <x v="0"/>
    <n v="390"/>
    <n v="41.1"/>
    <n v="184"/>
    <n v="35"/>
    <n v="8.9700000000000006"/>
    <n v="0.41100000000000003"/>
    <n v="8.9700000000000002E-2"/>
    <n v="3.0666666666666669"/>
  </r>
  <r>
    <d v="2025-05-12T00:00:00"/>
    <s v="23:07:46"/>
    <x v="1"/>
    <n v="585"/>
    <n v="64.040000000000006"/>
    <n v="268"/>
    <n v="11"/>
    <n v="1.88"/>
    <n v="0.64040000000000008"/>
    <n v="1.8799999999999997E-2"/>
    <n v="4.4666666666666668"/>
  </r>
  <r>
    <d v="2025-05-13T00:00:00"/>
    <s v="11:06:06"/>
    <x v="4"/>
    <n v="398"/>
    <n v="39.33"/>
    <n v="244"/>
    <n v="24"/>
    <n v="6.03"/>
    <n v="0.39329999999999998"/>
    <n v="6.0299999999999999E-2"/>
    <n v="4.0666666666666664"/>
  </r>
  <r>
    <d v="2025-05-14T00:00:00"/>
    <s v="03:00:50"/>
    <x v="0"/>
    <n v="555"/>
    <n v="62.42"/>
    <n v="330"/>
    <n v="35"/>
    <n v="6.31"/>
    <n v="0.62419999999999998"/>
    <n v="6.3099999999999989E-2"/>
    <n v="5.5"/>
  </r>
  <r>
    <d v="2025-05-15T00:00:00"/>
    <s v="12:00:09"/>
    <x v="2"/>
    <n v="97"/>
    <n v="67.650000000000006"/>
    <n v="61"/>
    <n v="21"/>
    <n v="21.65"/>
    <n v="0.6765000000000001"/>
    <n v="0.2165"/>
    <n v="1.0166666666666666"/>
  </r>
  <r>
    <d v="2025-05-16T00:00:00"/>
    <s v="04:37:52"/>
    <x v="3"/>
    <n v="477"/>
    <n v="56.41"/>
    <n v="90"/>
    <n v="4"/>
    <n v="0.84"/>
    <n v="0.56409999999999993"/>
    <n v="8.3999999999999995E-3"/>
    <n v="1.5"/>
  </r>
  <r>
    <d v="2025-05-17T00:00:00"/>
    <s v="22:42:20"/>
    <x v="1"/>
    <n v="250"/>
    <n v="46.76"/>
    <n v="269"/>
    <n v="14"/>
    <n v="5.6"/>
    <n v="0.46759999999999996"/>
    <n v="5.5999999999999994E-2"/>
    <n v="4.4833333333333334"/>
  </r>
  <r>
    <d v="2025-05-18T00:00:00"/>
    <s v="20:30:39"/>
    <x v="0"/>
    <n v="393"/>
    <n v="36.54"/>
    <n v="119"/>
    <n v="27"/>
    <n v="6.87"/>
    <n v="0.3654"/>
    <n v="6.8699999999999997E-2"/>
    <n v="1.9833333333333334"/>
  </r>
  <r>
    <d v="2025-05-19T00:00:00"/>
    <s v="19:47:59"/>
    <x v="3"/>
    <n v="431"/>
    <n v="27.44"/>
    <n v="175"/>
    <n v="33"/>
    <n v="7.66"/>
    <n v="0.27440000000000003"/>
    <n v="7.6600000000000001E-2"/>
    <n v="2.9166666666666665"/>
  </r>
  <r>
    <d v="2025-05-20T00:00:00"/>
    <s v="04:46:58"/>
    <x v="1"/>
    <n v="589"/>
    <n v="28.33"/>
    <n v="143"/>
    <n v="16"/>
    <n v="2.72"/>
    <n v="0.2833"/>
    <n v="2.7200000000000002E-2"/>
    <n v="2.3833333333333333"/>
  </r>
  <r>
    <d v="2025-05-21T00:00:00"/>
    <s v="20:16:54"/>
    <x v="5"/>
    <n v="341"/>
    <n v="68.790000000000006"/>
    <n v="166"/>
    <n v="44"/>
    <n v="12.9"/>
    <n v="0.68790000000000007"/>
    <n v="0.129"/>
    <n v="2.7666666666666666"/>
  </r>
  <r>
    <d v="2025-05-22T00:00:00"/>
    <s v="12:34:18"/>
    <x v="0"/>
    <n v="256"/>
    <n v="43.54"/>
    <n v="216"/>
    <n v="2"/>
    <n v="0.78"/>
    <n v="0.43540000000000001"/>
    <n v="7.8000000000000005E-3"/>
    <n v="3.6"/>
  </r>
  <r>
    <d v="2025-05-23T00:00:00"/>
    <s v="05:30:24"/>
    <x v="0"/>
    <n v="200"/>
    <n v="47.13"/>
    <n v="321"/>
    <n v="33"/>
    <n v="16.5"/>
    <n v="0.47130000000000005"/>
    <n v="0.16500000000000001"/>
    <n v="5.35"/>
  </r>
  <r>
    <d v="2025-05-24T00:00:00"/>
    <s v="21:27:20"/>
    <x v="2"/>
    <n v="167"/>
    <n v="51.61"/>
    <n v="208"/>
    <n v="2"/>
    <n v="1.2"/>
    <n v="0.5161"/>
    <n v="1.2E-2"/>
    <n v="3.4666666666666668"/>
  </r>
  <r>
    <d v="2025-05-25T00:00:00"/>
    <s v="12:25:58"/>
    <x v="1"/>
    <n v="592"/>
    <n v="48.61"/>
    <n v="100"/>
    <n v="23"/>
    <n v="3.89"/>
    <n v="0.48609999999999998"/>
    <n v="3.8900000000000004E-2"/>
    <n v="1.6666666666666667"/>
  </r>
  <r>
    <d v="2025-05-26T00:00:00"/>
    <s v="15:20:58"/>
    <x v="0"/>
    <n v="156"/>
    <n v="60.09"/>
    <n v="105"/>
    <n v="2"/>
    <n v="1.28"/>
    <n v="0.60089999999999999"/>
    <n v="1.2800000000000001E-2"/>
    <n v="1.75"/>
  </r>
  <r>
    <d v="2025-05-27T00:00:00"/>
    <s v="10:14:00"/>
    <x v="0"/>
    <n v="491"/>
    <n v="59.35"/>
    <n v="331"/>
    <n v="22"/>
    <n v="4.4800000000000004"/>
    <n v="0.59350000000000003"/>
    <n v="4.4800000000000006E-2"/>
    <n v="5.5166666666666666"/>
  </r>
  <r>
    <d v="2025-05-28T00:00:00"/>
    <s v="23:21:56"/>
    <x v="2"/>
    <n v="298"/>
    <n v="30.9"/>
    <n v="113"/>
    <n v="42"/>
    <n v="14.09"/>
    <n v="0.309"/>
    <n v="0.1409"/>
    <n v="1.8833333333333333"/>
  </r>
  <r>
    <d v="2025-05-29T00:00:00"/>
    <s v="11:16:33"/>
    <x v="0"/>
    <n v="493"/>
    <n v="37.590000000000003"/>
    <n v="141"/>
    <n v="37"/>
    <n v="7.51"/>
    <n v="0.37590000000000001"/>
    <n v="7.51E-2"/>
    <n v="2.35"/>
  </r>
  <r>
    <d v="2025-05-30T00:00:00"/>
    <s v="04:38:07"/>
    <x v="0"/>
    <n v="392"/>
    <n v="31.93"/>
    <n v="325"/>
    <n v="15"/>
    <n v="3.83"/>
    <n v="0.31929999999999997"/>
    <n v="3.8300000000000001E-2"/>
    <n v="5.416666666666667"/>
  </r>
  <r>
    <d v="2025-05-31T00:00:00"/>
    <s v="02:00:38"/>
    <x v="0"/>
    <n v="205"/>
    <n v="31.45"/>
    <n v="341"/>
    <n v="9"/>
    <n v="4.3899999999999997"/>
    <n v="0.3145"/>
    <n v="4.3899999999999995E-2"/>
    <n v="5.6833333333333336"/>
  </r>
  <r>
    <d v="2025-06-01T00:00:00"/>
    <s v="09:31:58"/>
    <x v="5"/>
    <n v="436"/>
    <n v="53.6"/>
    <n v="349"/>
    <n v="29"/>
    <n v="6.65"/>
    <n v="0.53600000000000003"/>
    <n v="6.6500000000000004E-2"/>
    <n v="5.8166666666666664"/>
  </r>
  <r>
    <d v="2025-06-02T00:00:00"/>
    <s v="22:14:12"/>
    <x v="3"/>
    <n v="452"/>
    <n v="35.17"/>
    <n v="181"/>
    <n v="20"/>
    <n v="4.42"/>
    <n v="0.35170000000000001"/>
    <n v="4.4199999999999996E-2"/>
    <n v="3.0166666666666666"/>
  </r>
  <r>
    <d v="2025-06-03T00:00:00"/>
    <s v="05:10:02"/>
    <x v="2"/>
    <n v="535"/>
    <n v="62.35"/>
    <n v="98"/>
    <n v="4"/>
    <n v="0.75"/>
    <n v="0.62350000000000005"/>
    <n v="7.4999999999999997E-3"/>
    <n v="1.6333333333333333"/>
  </r>
  <r>
    <d v="2025-06-04T00:00:00"/>
    <s v="07:55:23"/>
    <x v="0"/>
    <n v="579"/>
    <n v="64.97"/>
    <n v="316"/>
    <n v="10"/>
    <n v="1.73"/>
    <n v="0.64969999999999994"/>
    <n v="1.7299999999999999E-2"/>
    <n v="5.2666666666666666"/>
  </r>
  <r>
    <d v="2025-06-05T00:00:00"/>
    <s v="08:29:59"/>
    <x v="2"/>
    <n v="102"/>
    <n v="37.26"/>
    <n v="196"/>
    <n v="27"/>
    <n v="26.47"/>
    <n v="0.37259999999999999"/>
    <n v="0.26469999999999999"/>
    <n v="3.2666666666666666"/>
  </r>
  <r>
    <d v="2025-06-06T00:00:00"/>
    <s v="09:20:49"/>
    <x v="5"/>
    <n v="515"/>
    <n v="58.85"/>
    <n v="185"/>
    <n v="24"/>
    <n v="4.66"/>
    <n v="0.58850000000000002"/>
    <n v="4.6600000000000003E-2"/>
    <n v="3.0833333333333335"/>
  </r>
  <r>
    <d v="2025-06-07T00:00:00"/>
    <s v="10:40:58"/>
    <x v="4"/>
    <n v="566"/>
    <n v="37.14"/>
    <n v="280"/>
    <n v="44"/>
    <n v="7.77"/>
    <n v="0.37140000000000001"/>
    <n v="7.7699999999999991E-2"/>
    <n v="4.666666666666667"/>
  </r>
  <r>
    <d v="2025-06-08T00:00:00"/>
    <s v="09:32:52"/>
    <x v="4"/>
    <n v="271"/>
    <n v="27.19"/>
    <n v="152"/>
    <n v="2"/>
    <n v="0.74"/>
    <n v="0.27190000000000003"/>
    <n v="7.4000000000000003E-3"/>
    <n v="2.5333333333333332"/>
  </r>
  <r>
    <d v="2025-06-09T00:00:00"/>
    <s v="19:41:36"/>
    <x v="0"/>
    <n v="273"/>
    <n v="57.8"/>
    <n v="284"/>
    <n v="24"/>
    <n v="8.7899999999999991"/>
    <n v="0.57799999999999996"/>
    <n v="8.7899999999999992E-2"/>
    <n v="4.7333333333333334"/>
  </r>
  <r>
    <d v="2025-06-10T00:00:00"/>
    <s v="20:58:19"/>
    <x v="0"/>
    <n v="565"/>
    <n v="42.24"/>
    <n v="269"/>
    <n v="28"/>
    <n v="4.96"/>
    <n v="0.4224"/>
    <n v="4.9599999999999998E-2"/>
    <n v="4.4833333333333334"/>
  </r>
  <r>
    <d v="2025-06-11T00:00:00"/>
    <s v="09:13:33"/>
    <x v="1"/>
    <n v="503"/>
    <n v="69.13"/>
    <n v="285"/>
    <n v="43"/>
    <n v="8.5500000000000007"/>
    <n v="0.69129999999999991"/>
    <n v="8.5500000000000007E-2"/>
    <n v="4.75"/>
  </r>
  <r>
    <d v="2025-06-12T00:00:00"/>
    <s v="05:45:20"/>
    <x v="4"/>
    <n v="298"/>
    <n v="54.28"/>
    <n v="195"/>
    <n v="19"/>
    <n v="6.38"/>
    <n v="0.54280000000000006"/>
    <n v="6.3799999999999996E-2"/>
    <n v="3.25"/>
  </r>
  <r>
    <d v="2025-06-13T00:00:00"/>
    <s v="13:12:07"/>
    <x v="5"/>
    <n v="112"/>
    <n v="34.74"/>
    <n v="192"/>
    <n v="28"/>
    <n v="25"/>
    <n v="0.34740000000000004"/>
    <n v="0.25"/>
    <n v="3.2"/>
  </r>
  <r>
    <d v="2025-06-14T00:00:00"/>
    <s v="07:22:55"/>
    <x v="1"/>
    <n v="50"/>
    <n v="46.1"/>
    <n v="129"/>
    <n v="11"/>
    <n v="22"/>
    <n v="0.46100000000000002"/>
    <n v="0.22"/>
    <n v="2.15"/>
  </r>
  <r>
    <d v="2025-06-15T00:00:00"/>
    <s v="15:01:03"/>
    <x v="1"/>
    <n v="540"/>
    <n v="29.77"/>
    <n v="107"/>
    <n v="32"/>
    <n v="5.93"/>
    <n v="0.29770000000000002"/>
    <n v="5.9299999999999999E-2"/>
    <n v="1.7833333333333334"/>
  </r>
  <r>
    <d v="2025-06-16T00:00:00"/>
    <s v="05:54:42"/>
    <x v="5"/>
    <n v="414"/>
    <n v="69.28"/>
    <n v="289"/>
    <n v="21"/>
    <n v="5.07"/>
    <n v="0.69279999999999997"/>
    <n v="5.0700000000000002E-2"/>
    <n v="4.8166666666666664"/>
  </r>
  <r>
    <d v="2025-06-17T00:00:00"/>
    <s v="12:42:04"/>
    <x v="1"/>
    <n v="170"/>
    <n v="37.64"/>
    <n v="90"/>
    <n v="4"/>
    <n v="2.35"/>
    <n v="0.37640000000000001"/>
    <n v="2.35E-2"/>
    <n v="1.5"/>
  </r>
  <r>
    <d v="2025-06-18T00:00:00"/>
    <s v="22:22:58"/>
    <x v="0"/>
    <n v="129"/>
    <n v="36.11"/>
    <n v="121"/>
    <n v="41"/>
    <n v="31.78"/>
    <n v="0.36109999999999998"/>
    <n v="0.31780000000000003"/>
    <n v="2.0166666666666666"/>
  </r>
  <r>
    <d v="2025-06-19T00:00:00"/>
    <s v="04:16:20"/>
    <x v="2"/>
    <n v="494"/>
    <n v="25.01"/>
    <n v="60"/>
    <n v="40"/>
    <n v="8.1"/>
    <n v="0.25009999999999999"/>
    <n v="8.1000000000000003E-2"/>
    <n v="1"/>
  </r>
  <r>
    <d v="2025-06-20T00:00:00"/>
    <s v="06:30:25"/>
    <x v="2"/>
    <n v="150"/>
    <n v="58.3"/>
    <n v="99"/>
    <n v="27"/>
    <n v="18"/>
    <n v="0.58299999999999996"/>
    <n v="0.18"/>
    <n v="1.65"/>
  </r>
  <r>
    <d v="2025-06-21T00:00:00"/>
    <s v="17:15:38"/>
    <x v="0"/>
    <n v="94"/>
    <n v="57.47"/>
    <n v="116"/>
    <n v="33"/>
    <n v="35.11"/>
    <n v="0.57469999999999999"/>
    <n v="0.35109999999999997"/>
    <n v="1.9333333333333333"/>
  </r>
  <r>
    <d v="2025-06-22T00:00:00"/>
    <s v="13:46:17"/>
    <x v="4"/>
    <n v="166"/>
    <n v="52.8"/>
    <n v="127"/>
    <n v="40"/>
    <n v="24.1"/>
    <n v="0.52800000000000002"/>
    <n v="0.24100000000000002"/>
    <n v="2.1166666666666667"/>
  </r>
  <r>
    <d v="2025-06-23T00:00:00"/>
    <s v="23:17:46"/>
    <x v="0"/>
    <n v="530"/>
    <n v="32.36"/>
    <n v="144"/>
    <n v="14"/>
    <n v="2.64"/>
    <n v="0.3236"/>
    <n v="2.64E-2"/>
    <n v="2.4"/>
  </r>
  <r>
    <d v="2025-06-24T00:00:00"/>
    <s v="12:50:39"/>
    <x v="3"/>
    <n v="381"/>
    <n v="49.97"/>
    <n v="192"/>
    <n v="8"/>
    <n v="2.1"/>
    <n v="0.49969999999999998"/>
    <n v="2.1000000000000001E-2"/>
    <n v="3.2"/>
  </r>
  <r>
    <d v="2025-06-25T00:00:00"/>
    <s v="10:51:26"/>
    <x v="0"/>
    <n v="285"/>
    <n v="38.840000000000003"/>
    <n v="66"/>
    <n v="27"/>
    <n v="9.4700000000000006"/>
    <n v="0.38840000000000002"/>
    <n v="9.4700000000000006E-2"/>
    <n v="1.1000000000000001"/>
  </r>
  <r>
    <d v="2025-06-26T00:00:00"/>
    <s v="17:39:06"/>
    <x v="2"/>
    <n v="243"/>
    <n v="69.02"/>
    <n v="225"/>
    <n v="25"/>
    <n v="10.29"/>
    <n v="0.69019999999999992"/>
    <n v="0.10289999999999999"/>
    <n v="3.75"/>
  </r>
  <r>
    <d v="2025-06-27T00:00:00"/>
    <s v="13:04:25"/>
    <x v="2"/>
    <n v="402"/>
    <n v="60.08"/>
    <n v="304"/>
    <n v="28"/>
    <n v="6.97"/>
    <n v="0.6008"/>
    <n v="6.9699999999999998E-2"/>
    <n v="5.0666666666666664"/>
  </r>
  <r>
    <d v="2025-06-28T00:00:00"/>
    <s v="13:55:00"/>
    <x v="0"/>
    <n v="440"/>
    <n v="26.65"/>
    <n v="194"/>
    <n v="18"/>
    <n v="4.09"/>
    <n v="0.26649999999999996"/>
    <n v="4.0899999999999999E-2"/>
    <n v="3.2333333333333334"/>
  </r>
  <r>
    <d v="2025-06-29T00:00:00"/>
    <s v="15:29:31"/>
    <x v="5"/>
    <n v="354"/>
    <n v="30.87"/>
    <n v="66"/>
    <n v="30"/>
    <n v="8.4700000000000006"/>
    <n v="0.30870000000000003"/>
    <n v="8.4700000000000011E-2"/>
    <n v="1.1000000000000001"/>
  </r>
  <r>
    <d v="2025-06-30T00:00:00"/>
    <s v="12:58:11"/>
    <x v="5"/>
    <n v="437"/>
    <n v="32.07"/>
    <n v="112"/>
    <n v="30"/>
    <n v="6.86"/>
    <n v="0.32069999999999999"/>
    <n v="6.8600000000000008E-2"/>
    <n v="1.8666666666666667"/>
  </r>
  <r>
    <d v="2025-07-01T00:00:00"/>
    <s v="09:08:08"/>
    <x v="2"/>
    <n v="269"/>
    <n v="40.799999999999997"/>
    <n v="234"/>
    <n v="22"/>
    <n v="8.18"/>
    <n v="0.40799999999999997"/>
    <n v="8.1799999999999998E-2"/>
    <n v="3.9"/>
  </r>
  <r>
    <d v="2025-07-02T00:00:00"/>
    <s v="22:50:20"/>
    <x v="3"/>
    <n v="336"/>
    <n v="25.97"/>
    <n v="340"/>
    <n v="12"/>
    <n v="3.57"/>
    <n v="0.25969999999999999"/>
    <n v="3.5699999999999996E-2"/>
    <n v="5.666666666666667"/>
  </r>
  <r>
    <d v="2025-07-03T00:00:00"/>
    <s v="13:43:29"/>
    <x v="0"/>
    <n v="352"/>
    <n v="30.98"/>
    <n v="108"/>
    <n v="35"/>
    <n v="9.94"/>
    <n v="0.30980000000000002"/>
    <n v="9.9399999999999988E-2"/>
    <n v="1.8"/>
  </r>
  <r>
    <d v="2025-07-04T00:00:00"/>
    <s v="20:48:53"/>
    <x v="0"/>
    <n v="105"/>
    <n v="34.869999999999997"/>
    <n v="182"/>
    <n v="7"/>
    <n v="6.67"/>
    <n v="0.34869999999999995"/>
    <n v="6.6699999999999995E-2"/>
    <n v="3.0333333333333332"/>
  </r>
  <r>
    <d v="2025-07-05T00:00:00"/>
    <s v="05:27:31"/>
    <x v="2"/>
    <n v="549"/>
    <n v="61.04"/>
    <n v="203"/>
    <n v="6"/>
    <n v="1.0900000000000001"/>
    <n v="0.61039999999999994"/>
    <n v="1.09E-2"/>
    <n v="3.3833333333333333"/>
  </r>
  <r>
    <d v="2025-07-06T00:00:00"/>
    <s v="22:29:42"/>
    <x v="2"/>
    <n v="141"/>
    <n v="47.84"/>
    <n v="169"/>
    <n v="10"/>
    <n v="7.09"/>
    <n v="0.47840000000000005"/>
    <n v="7.0900000000000005E-2"/>
    <n v="2.8166666666666669"/>
  </r>
  <r>
    <d v="2025-07-07T00:00:00"/>
    <s v="16:53:54"/>
    <x v="0"/>
    <n v="286"/>
    <n v="48.15"/>
    <n v="295"/>
    <n v="11"/>
    <n v="3.85"/>
    <n v="0.48149999999999998"/>
    <n v="3.85E-2"/>
    <n v="4.916666666666667"/>
  </r>
  <r>
    <d v="2025-07-08T00:00:00"/>
    <s v="05:43:03"/>
    <x v="4"/>
    <n v="547"/>
    <n v="30.81"/>
    <n v="139"/>
    <n v="14"/>
    <n v="2.56"/>
    <n v="0.30809999999999998"/>
    <n v="2.5600000000000001E-2"/>
    <n v="2.3166666666666669"/>
  </r>
  <r>
    <d v="2025-07-09T00:00:00"/>
    <s v="11:59:09"/>
    <x v="1"/>
    <n v="403"/>
    <n v="43.72"/>
    <n v="305"/>
    <n v="2"/>
    <n v="0.5"/>
    <n v="0.43719999999999998"/>
    <n v="5.0000000000000001E-3"/>
    <n v="5.083333333333333"/>
  </r>
  <r>
    <d v="2025-07-10T00:00:00"/>
    <s v="06:03:00"/>
    <x v="0"/>
    <n v="87"/>
    <n v="27.61"/>
    <n v="217"/>
    <n v="36"/>
    <n v="41.38"/>
    <n v="0.27610000000000001"/>
    <n v="0.4138"/>
    <n v="3.6166666666666667"/>
  </r>
  <r>
    <d v="2025-07-11T00:00:00"/>
    <s v="17:14:42"/>
    <x v="2"/>
    <n v="351"/>
    <n v="30.38"/>
    <n v="343"/>
    <n v="6"/>
    <n v="1.71"/>
    <n v="0.30380000000000001"/>
    <n v="1.7100000000000001E-2"/>
    <n v="5.7166666666666668"/>
  </r>
  <r>
    <d v="2025-07-12T00:00:00"/>
    <s v="00:59:30"/>
    <x v="0"/>
    <n v="361"/>
    <n v="53.32"/>
    <n v="240"/>
    <n v="5"/>
    <n v="1.39"/>
    <n v="0.53320000000000001"/>
    <n v="1.3899999999999999E-2"/>
    <n v="4"/>
  </r>
  <r>
    <d v="2025-07-13T00:00:00"/>
    <s v="06:31:24"/>
    <x v="5"/>
    <n v="544"/>
    <n v="30.8"/>
    <n v="191"/>
    <n v="12"/>
    <n v="2.21"/>
    <n v="0.308"/>
    <n v="2.2099999999999998E-2"/>
    <n v="3.1833333333333331"/>
  </r>
  <r>
    <d v="2025-07-14T00:00:00"/>
    <s v="00:37:45"/>
    <x v="2"/>
    <n v="276"/>
    <n v="32.75"/>
    <n v="215"/>
    <n v="19"/>
    <n v="6.88"/>
    <n v="0.32750000000000001"/>
    <n v="6.88E-2"/>
    <n v="3.5833333333333335"/>
  </r>
  <r>
    <d v="2025-07-15T00:00:00"/>
    <s v="11:00:51"/>
    <x v="5"/>
    <n v="112"/>
    <n v="69.06"/>
    <n v="204"/>
    <n v="10"/>
    <n v="8.93"/>
    <n v="0.69059999999999999"/>
    <n v="8.929999999999999E-2"/>
    <n v="3.4"/>
  </r>
  <r>
    <d v="2025-07-16T00:00:00"/>
    <s v="21:52:42"/>
    <x v="4"/>
    <n v="119"/>
    <n v="62.39"/>
    <n v="306"/>
    <n v="5"/>
    <n v="4.2"/>
    <n v="0.62390000000000001"/>
    <n v="4.2000000000000003E-2"/>
    <n v="5.0999999999999996"/>
  </r>
  <r>
    <d v="2025-07-17T00:00:00"/>
    <s v="17:32:37"/>
    <x v="2"/>
    <n v="456"/>
    <n v="48.02"/>
    <n v="247"/>
    <n v="28"/>
    <n v="6.14"/>
    <n v="0.48020000000000002"/>
    <n v="6.1399999999999996E-2"/>
    <n v="4.1166666666666663"/>
  </r>
  <r>
    <d v="2025-07-18T00:00:00"/>
    <s v="01:33:11"/>
    <x v="3"/>
    <n v="82"/>
    <n v="48.09"/>
    <n v="140"/>
    <n v="26"/>
    <n v="31.71"/>
    <n v="0.48090000000000005"/>
    <n v="0.31709999999999999"/>
    <n v="2.3333333333333335"/>
  </r>
  <r>
    <d v="2025-07-19T00:00:00"/>
    <s v="01:53:42"/>
    <x v="5"/>
    <n v="230"/>
    <n v="51.05"/>
    <n v="300"/>
    <n v="3"/>
    <n v="1.3"/>
    <n v="0.51049999999999995"/>
    <n v="1.3000000000000001E-2"/>
    <n v="5"/>
  </r>
  <r>
    <d v="2025-07-20T00:00:00"/>
    <s v="00:51:37"/>
    <x v="1"/>
    <n v="421"/>
    <n v="29.05"/>
    <n v="137"/>
    <n v="40"/>
    <n v="9.5"/>
    <n v="0.29049999999999998"/>
    <n v="9.5000000000000001E-2"/>
    <n v="2.2833333333333332"/>
  </r>
  <r>
    <d v="2025-07-21T00:00:00"/>
    <s v="08:52:44"/>
    <x v="0"/>
    <n v="79"/>
    <n v="54.51"/>
    <n v="310"/>
    <n v="42"/>
    <n v="53.16"/>
    <n v="0.54510000000000003"/>
    <n v="0.53159999999999996"/>
    <n v="5.166666666666667"/>
  </r>
  <r>
    <d v="2025-07-22T00:00:00"/>
    <s v="06:02:30"/>
    <x v="3"/>
    <n v="126"/>
    <n v="59.94"/>
    <n v="78"/>
    <n v="17"/>
    <n v="13.49"/>
    <n v="0.59939999999999993"/>
    <n v="0.13489999999999999"/>
    <n v="1.3"/>
  </r>
  <r>
    <d v="2025-07-23T00:00:00"/>
    <s v="06:23:47"/>
    <x v="4"/>
    <n v="406"/>
    <n v="29.53"/>
    <n v="325"/>
    <n v="2"/>
    <n v="0.49"/>
    <n v="0.29530000000000001"/>
    <n v="4.8999999999999998E-3"/>
    <n v="5.416666666666667"/>
  </r>
  <r>
    <d v="2025-07-24T00:00:00"/>
    <s v="07:50:38"/>
    <x v="5"/>
    <n v="50"/>
    <n v="26.54"/>
    <n v="186"/>
    <n v="35"/>
    <n v="70"/>
    <n v="0.26539999999999997"/>
    <n v="0.7"/>
    <n v="3.1"/>
  </r>
  <r>
    <d v="2025-07-25T00:00:00"/>
    <s v="18:44:34"/>
    <x v="2"/>
    <n v="279"/>
    <n v="56.51"/>
    <n v="325"/>
    <n v="31"/>
    <n v="11.11"/>
    <n v="0.56509999999999994"/>
    <n v="0.11109999999999999"/>
    <n v="5.416666666666667"/>
  </r>
  <r>
    <d v="2025-07-26T00:00:00"/>
    <s v="05:19:42"/>
    <x v="3"/>
    <n v="52"/>
    <n v="62.32"/>
    <n v="190"/>
    <n v="6"/>
    <n v="11.54"/>
    <n v="0.62319999999999998"/>
    <n v="0.11539999999999999"/>
    <n v="3.1666666666666665"/>
  </r>
  <r>
    <d v="2025-07-27T00:00:00"/>
    <s v="16:16:21"/>
    <x v="3"/>
    <n v="391"/>
    <n v="69.47"/>
    <n v="128"/>
    <n v="39"/>
    <n v="9.9700000000000006"/>
    <n v="0.69469999999999998"/>
    <n v="9.9700000000000011E-2"/>
    <n v="2.1333333333333333"/>
  </r>
  <r>
    <d v="2025-07-28T00:00:00"/>
    <s v="03:25:28"/>
    <x v="3"/>
    <n v="379"/>
    <n v="63.24"/>
    <n v="318"/>
    <n v="27"/>
    <n v="7.12"/>
    <n v="0.63240000000000007"/>
    <n v="7.1199999999999999E-2"/>
    <n v="5.3"/>
  </r>
  <r>
    <d v="2025-07-29T00:00:00"/>
    <s v="06:40:38"/>
    <x v="0"/>
    <n v="169"/>
    <n v="34.590000000000003"/>
    <n v="254"/>
    <n v="12"/>
    <n v="7.1"/>
    <n v="0.34590000000000004"/>
    <n v="7.0999999999999994E-2"/>
    <n v="4.2333333333333334"/>
  </r>
  <r>
    <d v="2025-07-30T00:00:00"/>
    <s v="07:25:19"/>
    <x v="4"/>
    <n v="487"/>
    <n v="48.53"/>
    <n v="212"/>
    <n v="4"/>
    <n v="0.82"/>
    <n v="0.48530000000000001"/>
    <n v="8.199999999999999E-3"/>
    <n v="3.5333333333333332"/>
  </r>
  <r>
    <d v="2025-07-31T00:00:00"/>
    <s v="03:50:30"/>
    <x v="4"/>
    <n v="102"/>
    <n v="57.91"/>
    <n v="313"/>
    <n v="34"/>
    <n v="33.33"/>
    <n v="0.57909999999999995"/>
    <n v="0.33329999999999999"/>
    <n v="5.2166666666666668"/>
  </r>
  <r>
    <d v="2025-08-01T00:00:00"/>
    <s v="06:41:29"/>
    <x v="2"/>
    <n v="186"/>
    <n v="61.46"/>
    <n v="314"/>
    <n v="25"/>
    <n v="13.44"/>
    <n v="0.61460000000000004"/>
    <n v="0.13439999999999999"/>
    <n v="5.2333333333333334"/>
  </r>
  <r>
    <d v="2025-08-02T00:00:00"/>
    <s v="08:05:49"/>
    <x v="5"/>
    <n v="345"/>
    <n v="46.24"/>
    <n v="276"/>
    <n v="15"/>
    <n v="4.3499999999999996"/>
    <n v="0.46240000000000003"/>
    <n v="4.3499999999999997E-2"/>
    <n v="4.5999999999999996"/>
  </r>
  <r>
    <d v="2025-08-03T00:00:00"/>
    <s v="11:04:42"/>
    <x v="0"/>
    <n v="373"/>
    <n v="28.84"/>
    <n v="234"/>
    <n v="18"/>
    <n v="4.83"/>
    <n v="0.28839999999999999"/>
    <n v="4.8300000000000003E-2"/>
    <n v="3.9"/>
  </r>
  <r>
    <d v="2025-08-04T00:00:00"/>
    <s v="15:43:36"/>
    <x v="4"/>
    <n v="545"/>
    <n v="57.4"/>
    <n v="240"/>
    <n v="33"/>
    <n v="6.06"/>
    <n v="0.57399999999999995"/>
    <n v="6.0599999999999994E-2"/>
    <n v="4"/>
  </r>
  <r>
    <d v="2025-08-05T00:00:00"/>
    <s v="20:46:38"/>
    <x v="1"/>
    <n v="383"/>
    <n v="35.479999999999997"/>
    <n v="182"/>
    <n v="2"/>
    <n v="0.52"/>
    <n v="0.35479999999999995"/>
    <n v="5.1999999999999998E-3"/>
    <n v="3.0333333333333332"/>
  </r>
  <r>
    <d v="2025-08-06T00:00:00"/>
    <s v="01:11:07"/>
    <x v="5"/>
    <n v="66"/>
    <n v="63.4"/>
    <n v="262"/>
    <n v="37"/>
    <n v="56.06"/>
    <n v="0.63400000000000001"/>
    <n v="0.56059999999999999"/>
    <n v="4.3666666666666663"/>
  </r>
  <r>
    <d v="2025-08-07T00:00:00"/>
    <s v="15:31:47"/>
    <x v="1"/>
    <n v="52"/>
    <n v="50.85"/>
    <n v="259"/>
    <n v="25"/>
    <n v="48.08"/>
    <n v="0.50850000000000006"/>
    <n v="0.48080000000000001"/>
    <n v="4.3166666666666664"/>
  </r>
  <r>
    <d v="2025-08-08T00:00:00"/>
    <s v="17:37:32"/>
    <x v="0"/>
    <n v="409"/>
    <n v="30.94"/>
    <n v="79"/>
    <n v="26"/>
    <n v="6.36"/>
    <n v="0.30940000000000001"/>
    <n v="6.3600000000000004E-2"/>
    <n v="1.3166666666666667"/>
  </r>
  <r>
    <d v="2025-08-09T00:00:00"/>
    <s v="03:19:30"/>
    <x v="2"/>
    <n v="79"/>
    <n v="59.98"/>
    <n v="186"/>
    <n v="21"/>
    <n v="26.58"/>
    <n v="0.5998"/>
    <n v="0.26579999999999998"/>
    <n v="3.1"/>
  </r>
  <r>
    <d v="2025-08-10T00:00:00"/>
    <s v="09:45:36"/>
    <x v="0"/>
    <n v="279"/>
    <n v="37.840000000000003"/>
    <n v="190"/>
    <n v="22"/>
    <n v="7.89"/>
    <n v="0.37840000000000001"/>
    <n v="7.8899999999999998E-2"/>
    <n v="3.1666666666666665"/>
  </r>
  <r>
    <d v="2025-08-11T00:00:00"/>
    <s v="12:39:48"/>
    <x v="5"/>
    <n v="383"/>
    <n v="53.74"/>
    <n v="261"/>
    <n v="22"/>
    <n v="5.74"/>
    <n v="0.53739999999999999"/>
    <n v="5.74E-2"/>
    <n v="4.3499999999999996"/>
  </r>
  <r>
    <d v="2025-08-12T00:00:00"/>
    <s v="02:24:48"/>
    <x v="0"/>
    <n v="241"/>
    <n v="26.12"/>
    <n v="353"/>
    <n v="15"/>
    <n v="6.22"/>
    <n v="0.26119999999999999"/>
    <n v="6.2199999999999998E-2"/>
    <n v="5.8833333333333337"/>
  </r>
  <r>
    <d v="2025-08-13T00:00:00"/>
    <s v="05:59:46"/>
    <x v="1"/>
    <n v="242"/>
    <n v="40.28"/>
    <n v="359"/>
    <n v="27"/>
    <n v="11.16"/>
    <n v="0.40279999999999999"/>
    <n v="0.1116"/>
    <n v="5.9833333333333334"/>
  </r>
  <r>
    <d v="2025-08-14T00:00:00"/>
    <s v="03:31:25"/>
    <x v="5"/>
    <n v="157"/>
    <n v="67.92"/>
    <n v="273"/>
    <n v="14"/>
    <n v="8.92"/>
    <n v="0.67920000000000003"/>
    <n v="8.9200000000000002E-2"/>
    <n v="4.55"/>
  </r>
  <r>
    <d v="2025-08-15T00:00:00"/>
    <s v="10:55:17"/>
    <x v="2"/>
    <n v="289"/>
    <n v="66.650000000000006"/>
    <n v="241"/>
    <n v="29"/>
    <n v="10.029999999999999"/>
    <n v="0.66650000000000009"/>
    <n v="0.1003"/>
    <n v="4.0166666666666666"/>
  </r>
  <r>
    <d v="2025-08-16T00:00:00"/>
    <s v="13:00:20"/>
    <x v="0"/>
    <n v="268"/>
    <n v="36.92"/>
    <n v="235"/>
    <n v="1"/>
    <n v="0.37"/>
    <n v="0.36920000000000003"/>
    <n v="3.7000000000000002E-3"/>
    <n v="3.9166666666666665"/>
  </r>
  <r>
    <d v="2025-08-17T00:00:00"/>
    <s v="03:20:56"/>
    <x v="3"/>
    <n v="199"/>
    <n v="39.57"/>
    <n v="196"/>
    <n v="12"/>
    <n v="6.03"/>
    <n v="0.3957"/>
    <n v="6.0299999999999999E-2"/>
    <n v="3.2666666666666666"/>
  </r>
  <r>
    <d v="2025-08-18T00:00:00"/>
    <s v="23:33:54"/>
    <x v="1"/>
    <n v="288"/>
    <n v="31.46"/>
    <n v="219"/>
    <n v="2"/>
    <n v="0.69"/>
    <n v="0.31459999999999999"/>
    <n v="6.8999999999999999E-3"/>
    <n v="3.65"/>
  </r>
  <r>
    <d v="2025-08-19T00:00:00"/>
    <s v="18:35:50"/>
    <x v="5"/>
    <n v="478"/>
    <n v="26.6"/>
    <n v="343"/>
    <n v="38"/>
    <n v="7.95"/>
    <n v="0.26600000000000001"/>
    <n v="7.9500000000000001E-2"/>
    <n v="5.7166666666666668"/>
  </r>
  <r>
    <d v="2025-08-20T00:00:00"/>
    <s v="17:03:44"/>
    <x v="0"/>
    <n v="426"/>
    <n v="55.13"/>
    <n v="145"/>
    <n v="9"/>
    <n v="2.11"/>
    <n v="0.55130000000000001"/>
    <n v="2.1099999999999997E-2"/>
    <n v="2.4166666666666665"/>
  </r>
  <r>
    <d v="2025-08-21T00:00:00"/>
    <s v="06:40:37"/>
    <x v="1"/>
    <n v="508"/>
    <n v="32.14"/>
    <n v="276"/>
    <n v="42"/>
    <n v="8.27"/>
    <n v="0.32140000000000002"/>
    <n v="8.2699999999999996E-2"/>
    <n v="4.5999999999999996"/>
  </r>
  <r>
    <d v="2025-08-22T00:00:00"/>
    <s v="19:31:22"/>
    <x v="0"/>
    <n v="461"/>
    <n v="53.52"/>
    <n v="127"/>
    <n v="36"/>
    <n v="7.81"/>
    <n v="0.53520000000000001"/>
    <n v="7.8100000000000003E-2"/>
    <n v="2.1166666666666667"/>
  </r>
  <r>
    <d v="2025-08-23T00:00:00"/>
    <s v="02:48:04"/>
    <x v="1"/>
    <n v="498"/>
    <n v="29.85"/>
    <n v="114"/>
    <n v="26"/>
    <n v="5.22"/>
    <n v="0.29849999999999999"/>
    <n v="5.2199999999999996E-2"/>
    <n v="1.9"/>
  </r>
  <r>
    <d v="2025-08-24T00:00:00"/>
    <s v="23:24:31"/>
    <x v="5"/>
    <n v="135"/>
    <n v="42.39"/>
    <n v="82"/>
    <n v="11"/>
    <n v="8.15"/>
    <n v="0.4239"/>
    <n v="8.1500000000000003E-2"/>
    <n v="1.3666666666666667"/>
  </r>
  <r>
    <d v="2025-08-25T00:00:00"/>
    <s v="08:55:27"/>
    <x v="2"/>
    <n v="55"/>
    <n v="55.05"/>
    <n v="357"/>
    <n v="25"/>
    <n v="45.45"/>
    <n v="0.55049999999999999"/>
    <n v="0.45450000000000002"/>
    <n v="5.95"/>
  </r>
  <r>
    <d v="2025-08-26T00:00:00"/>
    <s v="08:01:48"/>
    <x v="5"/>
    <n v="323"/>
    <n v="68.55"/>
    <n v="223"/>
    <n v="33"/>
    <n v="10.220000000000001"/>
    <n v="0.6855"/>
    <n v="0.10220000000000001"/>
    <n v="3.7166666666666668"/>
  </r>
  <r>
    <d v="2025-08-27T00:00:00"/>
    <s v="23:56:10"/>
    <x v="5"/>
    <n v="537"/>
    <n v="66.61"/>
    <n v="324"/>
    <n v="6"/>
    <n v="1.1200000000000001"/>
    <n v="0.66610000000000003"/>
    <n v="1.1200000000000002E-2"/>
    <n v="5.4"/>
  </r>
  <r>
    <d v="2025-08-28T00:00:00"/>
    <s v="04:57:45"/>
    <x v="2"/>
    <n v="102"/>
    <n v="38.28"/>
    <n v="82"/>
    <n v="11"/>
    <n v="10.78"/>
    <n v="0.38280000000000003"/>
    <n v="0.10779999999999999"/>
    <n v="1.36666666666666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149532-E5FF-41CE-844C-190E3E2A05EB}" name="PivotTable5"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hannel">
  <location ref="J8:K14" firstHeaderRow="1" firstDataRow="1" firstDataCol="1"/>
  <pivotFields count="11">
    <pivotField numFmtId="14" showAll="0"/>
    <pivotField showAll="0"/>
    <pivotField axis="axisRow" showAll="0">
      <items count="7">
        <item x="1"/>
        <item x="3"/>
        <item x="0"/>
        <item x="2"/>
        <item x="4"/>
        <item x="5"/>
        <item t="default"/>
      </items>
    </pivotField>
    <pivotField showAll="0"/>
    <pivotField showAll="0"/>
    <pivotField showAll="0"/>
    <pivotField dataField="1" showAll="0"/>
    <pivotField showAll="0"/>
    <pivotField numFmtId="9" showAll="0"/>
    <pivotField numFmtId="9" showAll="0"/>
    <pivotField numFmtId="1" showAll="0"/>
  </pivotFields>
  <rowFields count="1">
    <field x="2"/>
  </rowFields>
  <rowItems count="6">
    <i>
      <x/>
    </i>
    <i>
      <x v="1"/>
    </i>
    <i>
      <x v="2"/>
    </i>
    <i>
      <x v="3"/>
    </i>
    <i>
      <x v="4"/>
    </i>
    <i>
      <x v="5"/>
    </i>
  </rowItems>
  <colItems count="1">
    <i/>
  </colItems>
  <dataFields count="1">
    <dataField name="Total Conversions" fld="6"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F3787-87A6-4E51-9B69-9756E1E9D224}" name="PivotTable3"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hannel">
  <location ref="G8:H14" firstHeaderRow="1" firstDataRow="1" firstDataCol="1"/>
  <pivotFields count="11">
    <pivotField numFmtId="14" showAll="0"/>
    <pivotField showAll="0"/>
    <pivotField axis="axisRow" showAll="0">
      <items count="7">
        <item x="1"/>
        <item x="3"/>
        <item x="0"/>
        <item x="2"/>
        <item x="4"/>
        <item x="5"/>
        <item t="default"/>
      </items>
    </pivotField>
    <pivotField showAll="0"/>
    <pivotField showAll="0"/>
    <pivotField showAll="0"/>
    <pivotField showAll="0"/>
    <pivotField showAll="0"/>
    <pivotField numFmtId="9" showAll="0"/>
    <pivotField numFmtId="9" showAll="0"/>
    <pivotField dataField="1" numFmtId="1" showAll="0"/>
  </pivotFields>
  <rowFields count="1">
    <field x="2"/>
  </rowFields>
  <rowItems count="6">
    <i>
      <x/>
    </i>
    <i>
      <x v="1"/>
    </i>
    <i>
      <x v="2"/>
    </i>
    <i>
      <x v="3"/>
    </i>
    <i>
      <x v="4"/>
    </i>
    <i>
      <x v="5"/>
    </i>
  </rowItems>
  <colItems count="1">
    <i/>
  </colItems>
  <dataFields count="1">
    <dataField name=" Avg session duration (min)" fld="10" subtotal="average" baseField="2" baseItem="0" numFmtId="17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80B385-174D-4BA4-8CA0-1062410E767E}" name="PivotTable2"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hannel">
  <location ref="D8:E14" firstHeaderRow="1" firstDataRow="1" firstDataCol="1"/>
  <pivotFields count="11">
    <pivotField numFmtId="14" showAll="0"/>
    <pivotField showAll="0"/>
    <pivotField axis="axisRow" showAll="0">
      <items count="7">
        <item x="1"/>
        <item x="3"/>
        <item x="0"/>
        <item x="2"/>
        <item x="4"/>
        <item x="5"/>
        <item t="default"/>
      </items>
    </pivotField>
    <pivotField showAll="0"/>
    <pivotField showAll="0"/>
    <pivotField showAll="0"/>
    <pivotField showAll="0"/>
    <pivotField showAll="0"/>
    <pivotField dataField="1" numFmtId="9" showAll="0"/>
    <pivotField numFmtId="9" showAll="0"/>
    <pivotField numFmtId="1" showAll="0"/>
  </pivotFields>
  <rowFields count="1">
    <field x="2"/>
  </rowFields>
  <rowItems count="6">
    <i>
      <x/>
    </i>
    <i>
      <x v="1"/>
    </i>
    <i>
      <x v="2"/>
    </i>
    <i>
      <x v="3"/>
    </i>
    <i>
      <x v="4"/>
    </i>
    <i>
      <x v="5"/>
    </i>
  </rowItems>
  <colItems count="1">
    <i/>
  </colItems>
  <dataFields count="1">
    <dataField name="Average of Bounce Rate %" fld="8" subtotal="average" baseField="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CA6199-BB81-4378-9908-E1047D7FD09E}" name="PivotTable1"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hannel">
  <location ref="A8:B14" firstHeaderRow="1" firstDataRow="1" firstDataCol="1"/>
  <pivotFields count="11">
    <pivotField numFmtId="14" showAll="0"/>
    <pivotField showAll="0"/>
    <pivotField axis="axisRow" showAll="0">
      <items count="7">
        <item x="1"/>
        <item x="3"/>
        <item x="0"/>
        <item x="2"/>
        <item x="4"/>
        <item x="5"/>
        <item t="default"/>
      </items>
    </pivotField>
    <pivotField dataField="1" showAll="0"/>
    <pivotField showAll="0"/>
    <pivotField showAll="0"/>
    <pivotField showAll="0"/>
    <pivotField showAll="0"/>
    <pivotField numFmtId="9" showAll="0"/>
    <pivotField numFmtId="9" showAll="0"/>
    <pivotField numFmtId="1" showAll="0"/>
  </pivotFields>
  <rowFields count="1">
    <field x="2"/>
  </rowFields>
  <rowItems count="6">
    <i>
      <x/>
    </i>
    <i>
      <x v="1"/>
    </i>
    <i>
      <x v="2"/>
    </i>
    <i>
      <x v="3"/>
    </i>
    <i>
      <x v="4"/>
    </i>
    <i>
      <x v="5"/>
    </i>
  </rowItems>
  <colItems count="1">
    <i/>
  </colItems>
  <dataFields count="1">
    <dataField name="Total Sess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05014B-4C36-4EBE-963C-E9ACECB989ED}" name="Table1" displayName="Table1" ref="A1:H241" totalsRowShown="0" headerRowDxfId="22" headerRowBorderDxfId="24" tableBorderDxfId="25">
  <autoFilter ref="A1:H241" xr:uid="{D005014B-4C36-4EBE-963C-E9ACECB989ED}"/>
  <tableColumns count="8">
    <tableColumn id="1" xr3:uid="{09CCF04D-1673-435E-A556-881B92ED53DB}" name="Date" dataDxfId="23"/>
    <tableColumn id="2" xr3:uid="{563596BC-85C8-429B-A8AA-E20B7263F411}" name="Time"/>
    <tableColumn id="3" xr3:uid="{732419E8-541C-4B11-9185-C96C2330F01A}" name="Channel"/>
    <tableColumn id="4" xr3:uid="{B27CDD18-0F21-4909-9AF4-3DFEBB011BFE}" name="Sessions"/>
    <tableColumn id="5" xr3:uid="{F9F11B79-8D90-45A3-8856-B1804309CEA6}" name="Bounce Rate (%)"/>
    <tableColumn id="6" xr3:uid="{44DD4D3C-7466-4FE6-B14D-33BEBF90AF1C}" name="Avg Session Duration (sec)"/>
    <tableColumn id="7" xr3:uid="{4F49B000-D004-4137-8438-1E5C4DBD3A2B}" name="Conversions"/>
    <tableColumn id="8" xr3:uid="{7218639F-FAC1-4DD9-B748-5411E322A53A}" name="Conversion Rate (%)"/>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85BE6C-BA8C-41FA-9DF9-95CDB40AA5DF}" name="Table13" displayName="Table13" ref="A1:K241" totalsRowShown="0" headerRowDxfId="21" headerRowBorderDxfId="19" tableBorderDxfId="20">
  <autoFilter ref="A1:K241" xr:uid="{4385BE6C-BA8C-41FA-9DF9-95CDB40AA5DF}"/>
  <tableColumns count="11">
    <tableColumn id="1" xr3:uid="{BD1B002C-20F0-4A4C-B03B-E8F3FC729AF2}" name="Date" dataDxfId="17"/>
    <tableColumn id="2" xr3:uid="{BB533DAB-C6C5-4ED9-BC77-1784697C6021}" name="Time" dataDxfId="16"/>
    <tableColumn id="3" xr3:uid="{50472075-D5E2-42C8-B48B-42CA1F2AB191}" name="Channel"/>
    <tableColumn id="4" xr3:uid="{8D7831CE-F410-42CC-91E2-59DAD4ED4364}" name="Sessions"/>
    <tableColumn id="5" xr3:uid="{256F181F-E76A-4642-97B6-2BEA13483BE1}" name="Bounce Rate"/>
    <tableColumn id="6" xr3:uid="{465C8134-B6CD-4359-B53F-7602F1BE3F5D}" name="Avg Session Duration (sec)"/>
    <tableColumn id="7" xr3:uid="{C583685B-C960-4E94-AF7D-CF4CA4818824}" name="Conversions"/>
    <tableColumn id="8" xr3:uid="{94A156F1-BA23-4CB2-B2A5-558AE3B92059}" name="Conversion Rate "/>
    <tableColumn id="9" xr3:uid="{073BAC56-177B-400E-93D2-F4DD01A59364}" name="Bounce Rate %" dataCellStyle="Percent">
      <calculatedColumnFormula>Table13[[#This Row],[Bounce Rate]]/100</calculatedColumnFormula>
    </tableColumn>
    <tableColumn id="10" xr3:uid="{D91AEA7D-204D-4258-AB25-AB2814E37FE5}" name="conversion rate %" dataCellStyle="Percent">
      <calculatedColumnFormula>Table13[[#This Row],[Conversion Rate ]]/100</calculatedColumnFormula>
    </tableColumn>
    <tableColumn id="11" xr3:uid="{6F59FCF1-9FC4-4365-B0D8-53407E846D9E}" name="Avg session duration (min)" dataDxfId="18">
      <calculatedColumnFormula>Table13[[#This Row],[Avg Session Duration (sec)]]/60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opLeftCell="A221" workbookViewId="0">
      <selection sqref="A1:H241"/>
    </sheetView>
  </sheetViews>
  <sheetFormatPr defaultRowHeight="15" x14ac:dyDescent="0.25"/>
  <cols>
    <col min="1" max="1" width="14.5703125" customWidth="1"/>
    <col min="2" max="2" width="13.7109375" customWidth="1"/>
    <col min="3" max="3" width="16" customWidth="1"/>
    <col min="4" max="4" width="12.28515625" customWidth="1"/>
    <col min="5" max="5" width="21.28515625" customWidth="1"/>
    <col min="6" max="6" width="26.42578125" customWidth="1"/>
    <col min="7" max="7" width="19.7109375" customWidth="1"/>
    <col min="8" max="8" width="23" customWidth="1"/>
  </cols>
  <sheetData>
    <row r="1" spans="1:8" x14ac:dyDescent="0.25">
      <c r="A1" s="2" t="s">
        <v>0</v>
      </c>
      <c r="B1" s="2" t="s">
        <v>1</v>
      </c>
      <c r="C1" s="2" t="s">
        <v>2</v>
      </c>
      <c r="D1" s="2" t="s">
        <v>3</v>
      </c>
      <c r="E1" s="2" t="s">
        <v>4</v>
      </c>
      <c r="F1" s="2" t="s">
        <v>5</v>
      </c>
      <c r="G1" s="2" t="s">
        <v>6</v>
      </c>
      <c r="H1" s="2" t="s">
        <v>7</v>
      </c>
    </row>
    <row r="2" spans="1:8" x14ac:dyDescent="0.25">
      <c r="A2" s="1">
        <v>45658</v>
      </c>
      <c r="B2" t="s">
        <v>8</v>
      </c>
      <c r="C2" t="s">
        <v>247</v>
      </c>
      <c r="D2">
        <v>153</v>
      </c>
      <c r="E2">
        <v>67.33</v>
      </c>
      <c r="F2">
        <v>82</v>
      </c>
      <c r="G2">
        <v>7</v>
      </c>
      <c r="H2">
        <v>4.58</v>
      </c>
    </row>
    <row r="3" spans="1:8" x14ac:dyDescent="0.25">
      <c r="A3" s="1">
        <v>45659</v>
      </c>
      <c r="B3" t="s">
        <v>9</v>
      </c>
      <c r="C3" t="s">
        <v>248</v>
      </c>
      <c r="D3">
        <v>202</v>
      </c>
      <c r="E3">
        <v>57.85</v>
      </c>
      <c r="F3">
        <v>226</v>
      </c>
      <c r="G3">
        <v>6</v>
      </c>
      <c r="H3">
        <v>2.97</v>
      </c>
    </row>
    <row r="4" spans="1:8" x14ac:dyDescent="0.25">
      <c r="A4" s="1">
        <v>45660</v>
      </c>
      <c r="B4" t="s">
        <v>10</v>
      </c>
      <c r="C4" t="s">
        <v>249</v>
      </c>
      <c r="D4">
        <v>318</v>
      </c>
      <c r="E4">
        <v>60.01</v>
      </c>
      <c r="F4">
        <v>329</v>
      </c>
      <c r="G4">
        <v>24</v>
      </c>
      <c r="H4">
        <v>7.55</v>
      </c>
    </row>
    <row r="5" spans="1:8" x14ac:dyDescent="0.25">
      <c r="A5" s="1">
        <v>45661</v>
      </c>
      <c r="B5" t="s">
        <v>11</v>
      </c>
      <c r="C5" t="s">
        <v>250</v>
      </c>
      <c r="D5">
        <v>276</v>
      </c>
      <c r="E5">
        <v>36.200000000000003</v>
      </c>
      <c r="F5">
        <v>329</v>
      </c>
      <c r="G5">
        <v>33</v>
      </c>
      <c r="H5">
        <v>11.96</v>
      </c>
    </row>
    <row r="6" spans="1:8" x14ac:dyDescent="0.25">
      <c r="A6" s="1">
        <v>45662</v>
      </c>
      <c r="B6" t="s">
        <v>12</v>
      </c>
      <c r="C6" t="s">
        <v>251</v>
      </c>
      <c r="D6">
        <v>245</v>
      </c>
      <c r="E6">
        <v>56.18</v>
      </c>
      <c r="F6">
        <v>330</v>
      </c>
      <c r="G6">
        <v>44</v>
      </c>
      <c r="H6">
        <v>17.96</v>
      </c>
    </row>
    <row r="7" spans="1:8" x14ac:dyDescent="0.25">
      <c r="A7" s="1">
        <v>45663</v>
      </c>
      <c r="B7" t="s">
        <v>13</v>
      </c>
      <c r="C7" t="s">
        <v>252</v>
      </c>
      <c r="D7">
        <v>174</v>
      </c>
      <c r="E7">
        <v>27.73</v>
      </c>
      <c r="F7">
        <v>140</v>
      </c>
      <c r="G7">
        <v>32</v>
      </c>
      <c r="H7">
        <v>18.39</v>
      </c>
    </row>
    <row r="8" spans="1:8" x14ac:dyDescent="0.25">
      <c r="A8" s="1">
        <v>45664</v>
      </c>
      <c r="B8" t="s">
        <v>14</v>
      </c>
      <c r="C8" t="s">
        <v>252</v>
      </c>
      <c r="D8">
        <v>387</v>
      </c>
      <c r="E8">
        <v>48.66</v>
      </c>
      <c r="F8">
        <v>66</v>
      </c>
      <c r="G8">
        <v>43</v>
      </c>
      <c r="H8">
        <v>11.11</v>
      </c>
    </row>
    <row r="9" spans="1:8" x14ac:dyDescent="0.25">
      <c r="A9" s="1">
        <v>45665</v>
      </c>
      <c r="B9" t="s">
        <v>15</v>
      </c>
      <c r="C9" t="s">
        <v>247</v>
      </c>
      <c r="D9">
        <v>179</v>
      </c>
      <c r="E9">
        <v>67.14</v>
      </c>
      <c r="F9">
        <v>216</v>
      </c>
      <c r="G9">
        <v>5</v>
      </c>
      <c r="H9">
        <v>2.79</v>
      </c>
    </row>
    <row r="10" spans="1:8" x14ac:dyDescent="0.25">
      <c r="A10" s="1">
        <v>45666</v>
      </c>
      <c r="B10" t="s">
        <v>16</v>
      </c>
      <c r="C10" t="s">
        <v>249</v>
      </c>
      <c r="D10">
        <v>546</v>
      </c>
      <c r="E10">
        <v>30.3</v>
      </c>
      <c r="F10">
        <v>98</v>
      </c>
      <c r="G10">
        <v>17</v>
      </c>
      <c r="H10">
        <v>3.11</v>
      </c>
    </row>
    <row r="11" spans="1:8" x14ac:dyDescent="0.25">
      <c r="A11" s="1">
        <v>45667</v>
      </c>
      <c r="B11" t="s">
        <v>17</v>
      </c>
      <c r="C11" t="s">
        <v>252</v>
      </c>
      <c r="D11">
        <v>228</v>
      </c>
      <c r="E11">
        <v>60.84</v>
      </c>
      <c r="F11">
        <v>122</v>
      </c>
      <c r="G11">
        <v>3</v>
      </c>
      <c r="H11">
        <v>1.32</v>
      </c>
    </row>
    <row r="12" spans="1:8" x14ac:dyDescent="0.25">
      <c r="A12" s="1">
        <v>45668</v>
      </c>
      <c r="B12" t="s">
        <v>18</v>
      </c>
      <c r="C12" t="s">
        <v>250</v>
      </c>
      <c r="D12">
        <v>244</v>
      </c>
      <c r="E12">
        <v>32.31</v>
      </c>
      <c r="F12">
        <v>192</v>
      </c>
      <c r="G12">
        <v>6</v>
      </c>
      <c r="H12">
        <v>2.46</v>
      </c>
    </row>
    <row r="13" spans="1:8" x14ac:dyDescent="0.25">
      <c r="A13" s="1">
        <v>45669</v>
      </c>
      <c r="B13" t="s">
        <v>19</v>
      </c>
      <c r="C13" t="s">
        <v>248</v>
      </c>
      <c r="D13">
        <v>161</v>
      </c>
      <c r="E13">
        <v>27.7</v>
      </c>
      <c r="F13">
        <v>163</v>
      </c>
      <c r="G13">
        <v>23</v>
      </c>
      <c r="H13">
        <v>14.29</v>
      </c>
    </row>
    <row r="14" spans="1:8" x14ac:dyDescent="0.25">
      <c r="A14" s="1">
        <v>45670</v>
      </c>
      <c r="B14" t="s">
        <v>20</v>
      </c>
      <c r="C14" t="s">
        <v>249</v>
      </c>
      <c r="D14">
        <v>186</v>
      </c>
      <c r="E14">
        <v>61.59</v>
      </c>
      <c r="F14">
        <v>116</v>
      </c>
      <c r="G14">
        <v>30</v>
      </c>
      <c r="H14">
        <v>16.13</v>
      </c>
    </row>
    <row r="15" spans="1:8" x14ac:dyDescent="0.25">
      <c r="A15" s="1">
        <v>45671</v>
      </c>
      <c r="B15" t="s">
        <v>21</v>
      </c>
      <c r="C15" t="s">
        <v>247</v>
      </c>
      <c r="D15">
        <v>134</v>
      </c>
      <c r="E15">
        <v>63.27</v>
      </c>
      <c r="F15">
        <v>102</v>
      </c>
      <c r="G15">
        <v>25</v>
      </c>
      <c r="H15">
        <v>18.66</v>
      </c>
    </row>
    <row r="16" spans="1:8" x14ac:dyDescent="0.25">
      <c r="A16" s="1">
        <v>45672</v>
      </c>
      <c r="B16" t="s">
        <v>22</v>
      </c>
      <c r="C16" t="s">
        <v>249</v>
      </c>
      <c r="D16">
        <v>363</v>
      </c>
      <c r="E16">
        <v>53.47</v>
      </c>
      <c r="F16">
        <v>255</v>
      </c>
      <c r="G16">
        <v>21</v>
      </c>
      <c r="H16">
        <v>5.79</v>
      </c>
    </row>
    <row r="17" spans="1:8" x14ac:dyDescent="0.25">
      <c r="A17" s="1">
        <v>45673</v>
      </c>
      <c r="B17" t="s">
        <v>23</v>
      </c>
      <c r="C17" t="s">
        <v>251</v>
      </c>
      <c r="D17">
        <v>433</v>
      </c>
      <c r="E17">
        <v>33.26</v>
      </c>
      <c r="F17">
        <v>271</v>
      </c>
      <c r="G17">
        <v>21</v>
      </c>
      <c r="H17">
        <v>4.8499999999999996</v>
      </c>
    </row>
    <row r="18" spans="1:8" x14ac:dyDescent="0.25">
      <c r="A18" s="1">
        <v>45674</v>
      </c>
      <c r="B18" t="s">
        <v>24</v>
      </c>
      <c r="C18" t="s">
        <v>247</v>
      </c>
      <c r="D18">
        <v>508</v>
      </c>
      <c r="E18">
        <v>60.4</v>
      </c>
      <c r="F18">
        <v>154</v>
      </c>
      <c r="G18">
        <v>19</v>
      </c>
      <c r="H18">
        <v>3.74</v>
      </c>
    </row>
    <row r="19" spans="1:8" x14ac:dyDescent="0.25">
      <c r="A19" s="1">
        <v>45675</v>
      </c>
      <c r="B19" t="s">
        <v>25</v>
      </c>
      <c r="C19" t="s">
        <v>252</v>
      </c>
      <c r="D19">
        <v>210</v>
      </c>
      <c r="E19">
        <v>64.05</v>
      </c>
      <c r="F19">
        <v>251</v>
      </c>
      <c r="G19">
        <v>2</v>
      </c>
      <c r="H19">
        <v>0.95</v>
      </c>
    </row>
    <row r="20" spans="1:8" x14ac:dyDescent="0.25">
      <c r="A20" s="1">
        <v>45676</v>
      </c>
      <c r="B20" t="s">
        <v>26</v>
      </c>
      <c r="C20" t="s">
        <v>251</v>
      </c>
      <c r="D20">
        <v>304</v>
      </c>
      <c r="E20">
        <v>61.07</v>
      </c>
      <c r="F20">
        <v>332</v>
      </c>
      <c r="G20">
        <v>15</v>
      </c>
      <c r="H20">
        <v>4.93</v>
      </c>
    </row>
    <row r="21" spans="1:8" x14ac:dyDescent="0.25">
      <c r="A21" s="1">
        <v>45677</v>
      </c>
      <c r="B21" t="s">
        <v>27</v>
      </c>
      <c r="C21" t="s">
        <v>247</v>
      </c>
      <c r="D21">
        <v>78</v>
      </c>
      <c r="E21">
        <v>54.32</v>
      </c>
      <c r="F21">
        <v>134</v>
      </c>
      <c r="G21">
        <v>25</v>
      </c>
      <c r="H21">
        <v>32.049999999999997</v>
      </c>
    </row>
    <row r="22" spans="1:8" x14ac:dyDescent="0.25">
      <c r="A22" s="1">
        <v>45678</v>
      </c>
      <c r="B22" t="s">
        <v>28</v>
      </c>
      <c r="C22" t="s">
        <v>252</v>
      </c>
      <c r="D22">
        <v>129</v>
      </c>
      <c r="E22">
        <v>68.56</v>
      </c>
      <c r="F22">
        <v>324</v>
      </c>
      <c r="G22">
        <v>6</v>
      </c>
      <c r="H22">
        <v>4.6500000000000004</v>
      </c>
    </row>
    <row r="23" spans="1:8" x14ac:dyDescent="0.25">
      <c r="A23" s="1">
        <v>45679</v>
      </c>
      <c r="B23" t="s">
        <v>29</v>
      </c>
      <c r="C23" t="s">
        <v>251</v>
      </c>
      <c r="D23">
        <v>479</v>
      </c>
      <c r="E23">
        <v>41.45</v>
      </c>
      <c r="F23">
        <v>228</v>
      </c>
      <c r="G23">
        <v>42</v>
      </c>
      <c r="H23">
        <v>8.77</v>
      </c>
    </row>
    <row r="24" spans="1:8" x14ac:dyDescent="0.25">
      <c r="A24" s="1">
        <v>45680</v>
      </c>
      <c r="B24" t="s">
        <v>30</v>
      </c>
      <c r="C24" t="s">
        <v>247</v>
      </c>
      <c r="D24">
        <v>379</v>
      </c>
      <c r="E24">
        <v>29.94</v>
      </c>
      <c r="F24">
        <v>190</v>
      </c>
      <c r="G24">
        <v>33</v>
      </c>
      <c r="H24">
        <v>8.7100000000000009</v>
      </c>
    </row>
    <row r="25" spans="1:8" x14ac:dyDescent="0.25">
      <c r="A25" s="1">
        <v>45681</v>
      </c>
      <c r="B25" t="s">
        <v>31</v>
      </c>
      <c r="C25" t="s">
        <v>252</v>
      </c>
      <c r="D25">
        <v>91</v>
      </c>
      <c r="E25">
        <v>42.45</v>
      </c>
      <c r="F25">
        <v>231</v>
      </c>
      <c r="G25">
        <v>5</v>
      </c>
      <c r="H25">
        <v>5.49</v>
      </c>
    </row>
    <row r="26" spans="1:8" x14ac:dyDescent="0.25">
      <c r="A26" s="1">
        <v>45682</v>
      </c>
      <c r="B26" t="s">
        <v>32</v>
      </c>
      <c r="C26" t="s">
        <v>251</v>
      </c>
      <c r="D26">
        <v>342</v>
      </c>
      <c r="E26">
        <v>66.13</v>
      </c>
      <c r="F26">
        <v>91</v>
      </c>
      <c r="G26">
        <v>21</v>
      </c>
      <c r="H26">
        <v>6.14</v>
      </c>
    </row>
    <row r="27" spans="1:8" x14ac:dyDescent="0.25">
      <c r="A27" s="1">
        <v>45683</v>
      </c>
      <c r="B27" t="s">
        <v>33</v>
      </c>
      <c r="C27" t="s">
        <v>247</v>
      </c>
      <c r="D27">
        <v>474</v>
      </c>
      <c r="E27">
        <v>69.08</v>
      </c>
      <c r="F27">
        <v>129</v>
      </c>
      <c r="G27">
        <v>32</v>
      </c>
      <c r="H27">
        <v>6.75</v>
      </c>
    </row>
    <row r="28" spans="1:8" x14ac:dyDescent="0.25">
      <c r="A28" s="1">
        <v>45684</v>
      </c>
      <c r="B28" t="s">
        <v>34</v>
      </c>
      <c r="C28" t="s">
        <v>252</v>
      </c>
      <c r="D28">
        <v>404</v>
      </c>
      <c r="E28">
        <v>28.06</v>
      </c>
      <c r="F28">
        <v>130</v>
      </c>
      <c r="G28">
        <v>33</v>
      </c>
      <c r="H28">
        <v>8.17</v>
      </c>
    </row>
    <row r="29" spans="1:8" x14ac:dyDescent="0.25">
      <c r="A29" s="1">
        <v>45685</v>
      </c>
      <c r="B29" t="s">
        <v>35</v>
      </c>
      <c r="C29" t="s">
        <v>248</v>
      </c>
      <c r="D29">
        <v>109</v>
      </c>
      <c r="E29">
        <v>28.34</v>
      </c>
      <c r="F29">
        <v>132</v>
      </c>
      <c r="G29">
        <v>30</v>
      </c>
      <c r="H29">
        <v>27.52</v>
      </c>
    </row>
    <row r="30" spans="1:8" x14ac:dyDescent="0.25">
      <c r="A30" s="1">
        <v>45686</v>
      </c>
      <c r="B30" t="s">
        <v>36</v>
      </c>
      <c r="C30" t="s">
        <v>250</v>
      </c>
      <c r="D30">
        <v>385</v>
      </c>
      <c r="E30">
        <v>50.03</v>
      </c>
      <c r="F30">
        <v>227</v>
      </c>
      <c r="G30">
        <v>11</v>
      </c>
      <c r="H30">
        <v>2.86</v>
      </c>
    </row>
    <row r="31" spans="1:8" x14ac:dyDescent="0.25">
      <c r="A31" s="1">
        <v>45687</v>
      </c>
      <c r="B31" t="s">
        <v>37</v>
      </c>
      <c r="C31" t="s">
        <v>252</v>
      </c>
      <c r="D31">
        <v>181</v>
      </c>
      <c r="E31">
        <v>36.19</v>
      </c>
      <c r="F31">
        <v>207</v>
      </c>
      <c r="G31">
        <v>28</v>
      </c>
      <c r="H31">
        <v>15.47</v>
      </c>
    </row>
    <row r="32" spans="1:8" x14ac:dyDescent="0.25">
      <c r="A32" s="1">
        <v>45688</v>
      </c>
      <c r="B32" t="s">
        <v>38</v>
      </c>
      <c r="C32" t="s">
        <v>247</v>
      </c>
      <c r="D32">
        <v>215</v>
      </c>
      <c r="E32">
        <v>66.88</v>
      </c>
      <c r="F32">
        <v>291</v>
      </c>
      <c r="G32">
        <v>24</v>
      </c>
      <c r="H32">
        <v>11.16</v>
      </c>
    </row>
    <row r="33" spans="1:8" x14ac:dyDescent="0.25">
      <c r="A33" s="1">
        <v>45689</v>
      </c>
      <c r="B33" t="s">
        <v>39</v>
      </c>
      <c r="C33" t="s">
        <v>252</v>
      </c>
      <c r="D33">
        <v>420</v>
      </c>
      <c r="E33">
        <v>51.95</v>
      </c>
      <c r="F33">
        <v>231</v>
      </c>
      <c r="G33">
        <v>11</v>
      </c>
      <c r="H33">
        <v>2.62</v>
      </c>
    </row>
    <row r="34" spans="1:8" x14ac:dyDescent="0.25">
      <c r="A34" s="1">
        <v>45690</v>
      </c>
      <c r="B34" t="s">
        <v>40</v>
      </c>
      <c r="C34" t="s">
        <v>249</v>
      </c>
      <c r="D34">
        <v>136</v>
      </c>
      <c r="E34">
        <v>53.07</v>
      </c>
      <c r="F34">
        <v>289</v>
      </c>
      <c r="G34">
        <v>18</v>
      </c>
      <c r="H34">
        <v>13.24</v>
      </c>
    </row>
    <row r="35" spans="1:8" x14ac:dyDescent="0.25">
      <c r="A35" s="1">
        <v>45691</v>
      </c>
      <c r="B35" t="s">
        <v>41</v>
      </c>
      <c r="C35" t="s">
        <v>252</v>
      </c>
      <c r="D35">
        <v>64</v>
      </c>
      <c r="E35">
        <v>44.03</v>
      </c>
      <c r="F35">
        <v>145</v>
      </c>
      <c r="G35">
        <v>41</v>
      </c>
      <c r="H35">
        <v>64.06</v>
      </c>
    </row>
    <row r="36" spans="1:8" x14ac:dyDescent="0.25">
      <c r="A36" s="1">
        <v>45692</v>
      </c>
      <c r="B36" t="s">
        <v>42</v>
      </c>
      <c r="C36" t="s">
        <v>249</v>
      </c>
      <c r="D36">
        <v>228</v>
      </c>
      <c r="E36">
        <v>50.14</v>
      </c>
      <c r="F36">
        <v>236</v>
      </c>
      <c r="G36">
        <v>22</v>
      </c>
      <c r="H36">
        <v>9.65</v>
      </c>
    </row>
    <row r="37" spans="1:8" x14ac:dyDescent="0.25">
      <c r="A37" s="1">
        <v>45693</v>
      </c>
      <c r="B37" t="s">
        <v>43</v>
      </c>
      <c r="C37" t="s">
        <v>248</v>
      </c>
      <c r="D37">
        <v>414</v>
      </c>
      <c r="E37">
        <v>31.35</v>
      </c>
      <c r="F37">
        <v>112</v>
      </c>
      <c r="G37">
        <v>39</v>
      </c>
      <c r="H37">
        <v>9.42</v>
      </c>
    </row>
    <row r="38" spans="1:8" x14ac:dyDescent="0.25">
      <c r="A38" s="1">
        <v>45694</v>
      </c>
      <c r="B38" t="s">
        <v>44</v>
      </c>
      <c r="C38" t="s">
        <v>248</v>
      </c>
      <c r="D38">
        <v>343</v>
      </c>
      <c r="E38">
        <v>32.72</v>
      </c>
      <c r="F38">
        <v>221</v>
      </c>
      <c r="G38">
        <v>9</v>
      </c>
      <c r="H38">
        <v>2.62</v>
      </c>
    </row>
    <row r="39" spans="1:8" x14ac:dyDescent="0.25">
      <c r="A39" s="1">
        <v>45695</v>
      </c>
      <c r="B39" t="s">
        <v>45</v>
      </c>
      <c r="C39" t="s">
        <v>249</v>
      </c>
      <c r="D39">
        <v>363</v>
      </c>
      <c r="E39">
        <v>56.66</v>
      </c>
      <c r="F39">
        <v>281</v>
      </c>
      <c r="G39">
        <v>11</v>
      </c>
      <c r="H39">
        <v>3.03</v>
      </c>
    </row>
    <row r="40" spans="1:8" x14ac:dyDescent="0.25">
      <c r="A40" s="1">
        <v>45696</v>
      </c>
      <c r="B40" t="s">
        <v>46</v>
      </c>
      <c r="C40" t="s">
        <v>252</v>
      </c>
      <c r="D40">
        <v>544</v>
      </c>
      <c r="E40">
        <v>61.55</v>
      </c>
      <c r="F40">
        <v>198</v>
      </c>
      <c r="G40">
        <v>4</v>
      </c>
      <c r="H40">
        <v>0.74</v>
      </c>
    </row>
    <row r="41" spans="1:8" x14ac:dyDescent="0.25">
      <c r="A41" s="1">
        <v>45697</v>
      </c>
      <c r="B41" t="s">
        <v>47</v>
      </c>
      <c r="C41" t="s">
        <v>249</v>
      </c>
      <c r="D41">
        <v>393</v>
      </c>
      <c r="E41">
        <v>53.75</v>
      </c>
      <c r="F41">
        <v>308</v>
      </c>
      <c r="G41">
        <v>31</v>
      </c>
      <c r="H41">
        <v>7.89</v>
      </c>
    </row>
    <row r="42" spans="1:8" x14ac:dyDescent="0.25">
      <c r="A42" s="1">
        <v>45698</v>
      </c>
      <c r="B42" t="s">
        <v>48</v>
      </c>
      <c r="C42" t="s">
        <v>252</v>
      </c>
      <c r="D42">
        <v>317</v>
      </c>
      <c r="E42">
        <v>26.88</v>
      </c>
      <c r="F42">
        <v>207</v>
      </c>
      <c r="G42">
        <v>3</v>
      </c>
      <c r="H42">
        <v>0.95</v>
      </c>
    </row>
    <row r="43" spans="1:8" x14ac:dyDescent="0.25">
      <c r="A43" s="1">
        <v>45699</v>
      </c>
      <c r="B43" t="s">
        <v>49</v>
      </c>
      <c r="C43" t="s">
        <v>249</v>
      </c>
      <c r="D43">
        <v>588</v>
      </c>
      <c r="E43">
        <v>58.54</v>
      </c>
      <c r="F43">
        <v>149</v>
      </c>
      <c r="G43">
        <v>1</v>
      </c>
      <c r="H43">
        <v>0.17</v>
      </c>
    </row>
    <row r="44" spans="1:8" x14ac:dyDescent="0.25">
      <c r="A44" s="1">
        <v>45700</v>
      </c>
      <c r="B44" t="s">
        <v>50</v>
      </c>
      <c r="C44" t="s">
        <v>250</v>
      </c>
      <c r="D44">
        <v>551</v>
      </c>
      <c r="E44">
        <v>44</v>
      </c>
      <c r="F44">
        <v>209</v>
      </c>
      <c r="G44">
        <v>38</v>
      </c>
      <c r="H44">
        <v>6.9</v>
      </c>
    </row>
    <row r="45" spans="1:8" x14ac:dyDescent="0.25">
      <c r="A45" s="1">
        <v>45701</v>
      </c>
      <c r="B45" t="s">
        <v>51</v>
      </c>
      <c r="C45" t="s">
        <v>249</v>
      </c>
      <c r="D45">
        <v>340</v>
      </c>
      <c r="E45">
        <v>38.58</v>
      </c>
      <c r="F45">
        <v>272</v>
      </c>
      <c r="G45">
        <v>39</v>
      </c>
      <c r="H45">
        <v>11.47</v>
      </c>
    </row>
    <row r="46" spans="1:8" x14ac:dyDescent="0.25">
      <c r="A46" s="1">
        <v>45702</v>
      </c>
      <c r="B46" t="s">
        <v>52</v>
      </c>
      <c r="C46" t="s">
        <v>252</v>
      </c>
      <c r="D46">
        <v>245</v>
      </c>
      <c r="E46">
        <v>25</v>
      </c>
      <c r="F46">
        <v>298</v>
      </c>
      <c r="G46">
        <v>37</v>
      </c>
      <c r="H46">
        <v>15.1</v>
      </c>
    </row>
    <row r="47" spans="1:8" x14ac:dyDescent="0.25">
      <c r="A47" s="1">
        <v>45703</v>
      </c>
      <c r="B47" t="s">
        <v>53</v>
      </c>
      <c r="C47" t="s">
        <v>250</v>
      </c>
      <c r="D47">
        <v>566</v>
      </c>
      <c r="E47">
        <v>30.78</v>
      </c>
      <c r="F47">
        <v>83</v>
      </c>
      <c r="G47">
        <v>22</v>
      </c>
      <c r="H47">
        <v>3.89</v>
      </c>
    </row>
    <row r="48" spans="1:8" x14ac:dyDescent="0.25">
      <c r="A48" s="1">
        <v>45704</v>
      </c>
      <c r="B48" t="s">
        <v>54</v>
      </c>
      <c r="C48" t="s">
        <v>249</v>
      </c>
      <c r="D48">
        <v>185</v>
      </c>
      <c r="E48">
        <v>27.33</v>
      </c>
      <c r="F48">
        <v>63</v>
      </c>
      <c r="G48">
        <v>34</v>
      </c>
      <c r="H48">
        <v>18.38</v>
      </c>
    </row>
    <row r="49" spans="1:8" x14ac:dyDescent="0.25">
      <c r="A49" s="1">
        <v>45705</v>
      </c>
      <c r="B49" t="s">
        <v>55</v>
      </c>
      <c r="C49" t="s">
        <v>251</v>
      </c>
      <c r="D49">
        <v>284</v>
      </c>
      <c r="E49">
        <v>52.26</v>
      </c>
      <c r="F49">
        <v>342</v>
      </c>
      <c r="G49">
        <v>24</v>
      </c>
      <c r="H49">
        <v>8.4499999999999993</v>
      </c>
    </row>
    <row r="50" spans="1:8" x14ac:dyDescent="0.25">
      <c r="A50" s="1">
        <v>45706</v>
      </c>
      <c r="B50" t="s">
        <v>56</v>
      </c>
      <c r="C50" t="s">
        <v>247</v>
      </c>
      <c r="D50">
        <v>308</v>
      </c>
      <c r="E50">
        <v>43.12</v>
      </c>
      <c r="F50">
        <v>165</v>
      </c>
      <c r="G50">
        <v>6</v>
      </c>
      <c r="H50">
        <v>1.95</v>
      </c>
    </row>
    <row r="51" spans="1:8" x14ac:dyDescent="0.25">
      <c r="A51" s="1">
        <v>45707</v>
      </c>
      <c r="B51" t="s">
        <v>57</v>
      </c>
      <c r="C51" t="s">
        <v>250</v>
      </c>
      <c r="D51">
        <v>122</v>
      </c>
      <c r="E51">
        <v>40.11</v>
      </c>
      <c r="F51">
        <v>338</v>
      </c>
      <c r="G51">
        <v>20</v>
      </c>
      <c r="H51">
        <v>16.39</v>
      </c>
    </row>
    <row r="52" spans="1:8" x14ac:dyDescent="0.25">
      <c r="A52" s="1">
        <v>45708</v>
      </c>
      <c r="B52" t="s">
        <v>58</v>
      </c>
      <c r="C52" t="s">
        <v>249</v>
      </c>
      <c r="D52">
        <v>566</v>
      </c>
      <c r="E52">
        <v>48.77</v>
      </c>
      <c r="F52">
        <v>153</v>
      </c>
      <c r="G52">
        <v>41</v>
      </c>
      <c r="H52">
        <v>7.24</v>
      </c>
    </row>
    <row r="53" spans="1:8" x14ac:dyDescent="0.25">
      <c r="A53" s="1">
        <v>45709</v>
      </c>
      <c r="B53" t="s">
        <v>59</v>
      </c>
      <c r="C53" t="s">
        <v>249</v>
      </c>
      <c r="D53">
        <v>562</v>
      </c>
      <c r="E53">
        <v>44.53</v>
      </c>
      <c r="F53">
        <v>86</v>
      </c>
      <c r="G53">
        <v>3</v>
      </c>
      <c r="H53">
        <v>0.53</v>
      </c>
    </row>
    <row r="54" spans="1:8" x14ac:dyDescent="0.25">
      <c r="A54" s="1">
        <v>45710</v>
      </c>
      <c r="B54" t="s">
        <v>60</v>
      </c>
      <c r="C54" t="s">
        <v>252</v>
      </c>
      <c r="D54">
        <v>582</v>
      </c>
      <c r="E54">
        <v>46.01</v>
      </c>
      <c r="F54">
        <v>145</v>
      </c>
      <c r="G54">
        <v>27</v>
      </c>
      <c r="H54">
        <v>4.6399999999999997</v>
      </c>
    </row>
    <row r="55" spans="1:8" x14ac:dyDescent="0.25">
      <c r="A55" s="1">
        <v>45711</v>
      </c>
      <c r="B55" t="s">
        <v>61</v>
      </c>
      <c r="C55" t="s">
        <v>252</v>
      </c>
      <c r="D55">
        <v>527</v>
      </c>
      <c r="E55">
        <v>44.44</v>
      </c>
      <c r="F55">
        <v>147</v>
      </c>
      <c r="G55">
        <v>6</v>
      </c>
      <c r="H55">
        <v>1.1399999999999999</v>
      </c>
    </row>
    <row r="56" spans="1:8" x14ac:dyDescent="0.25">
      <c r="A56" s="1">
        <v>45712</v>
      </c>
      <c r="B56" t="s">
        <v>62</v>
      </c>
      <c r="C56" t="s">
        <v>249</v>
      </c>
      <c r="D56">
        <v>593</v>
      </c>
      <c r="E56">
        <v>51.34</v>
      </c>
      <c r="F56">
        <v>122</v>
      </c>
      <c r="G56">
        <v>12</v>
      </c>
      <c r="H56">
        <v>2.02</v>
      </c>
    </row>
    <row r="57" spans="1:8" x14ac:dyDescent="0.25">
      <c r="A57" s="1">
        <v>45713</v>
      </c>
      <c r="B57" t="s">
        <v>63</v>
      </c>
      <c r="C57" t="s">
        <v>247</v>
      </c>
      <c r="D57">
        <v>418</v>
      </c>
      <c r="E57">
        <v>49.5</v>
      </c>
      <c r="F57">
        <v>334</v>
      </c>
      <c r="G57">
        <v>39</v>
      </c>
      <c r="H57">
        <v>9.33</v>
      </c>
    </row>
    <row r="58" spans="1:8" x14ac:dyDescent="0.25">
      <c r="A58" s="1">
        <v>45714</v>
      </c>
      <c r="B58" t="s">
        <v>64</v>
      </c>
      <c r="C58" t="s">
        <v>247</v>
      </c>
      <c r="D58">
        <v>418</v>
      </c>
      <c r="E58">
        <v>69.900000000000006</v>
      </c>
      <c r="F58">
        <v>347</v>
      </c>
      <c r="G58">
        <v>34</v>
      </c>
      <c r="H58">
        <v>8.1300000000000008</v>
      </c>
    </row>
    <row r="59" spans="1:8" x14ac:dyDescent="0.25">
      <c r="A59" s="1">
        <v>45715</v>
      </c>
      <c r="B59" t="s">
        <v>65</v>
      </c>
      <c r="C59" t="s">
        <v>250</v>
      </c>
      <c r="D59">
        <v>284</v>
      </c>
      <c r="E59">
        <v>42.11</v>
      </c>
      <c r="F59">
        <v>284</v>
      </c>
      <c r="G59">
        <v>21</v>
      </c>
      <c r="H59">
        <v>7.39</v>
      </c>
    </row>
    <row r="60" spans="1:8" x14ac:dyDescent="0.25">
      <c r="A60" s="1">
        <v>45716</v>
      </c>
      <c r="B60" t="s">
        <v>66</v>
      </c>
      <c r="C60" t="s">
        <v>252</v>
      </c>
      <c r="D60">
        <v>200</v>
      </c>
      <c r="E60">
        <v>49.15</v>
      </c>
      <c r="F60">
        <v>139</v>
      </c>
      <c r="G60">
        <v>4</v>
      </c>
      <c r="H60">
        <v>2</v>
      </c>
    </row>
    <row r="61" spans="1:8" x14ac:dyDescent="0.25">
      <c r="A61" s="1">
        <v>45717</v>
      </c>
      <c r="B61" t="s">
        <v>67</v>
      </c>
      <c r="C61" t="s">
        <v>250</v>
      </c>
      <c r="D61">
        <v>164</v>
      </c>
      <c r="E61">
        <v>62.11</v>
      </c>
      <c r="F61">
        <v>166</v>
      </c>
      <c r="G61">
        <v>5</v>
      </c>
      <c r="H61">
        <v>3.05</v>
      </c>
    </row>
    <row r="62" spans="1:8" x14ac:dyDescent="0.25">
      <c r="A62" s="1">
        <v>45718</v>
      </c>
      <c r="B62" t="s">
        <v>68</v>
      </c>
      <c r="C62" t="s">
        <v>251</v>
      </c>
      <c r="D62">
        <v>212</v>
      </c>
      <c r="E62">
        <v>30.67</v>
      </c>
      <c r="F62">
        <v>346</v>
      </c>
      <c r="G62">
        <v>7</v>
      </c>
      <c r="H62">
        <v>3.3</v>
      </c>
    </row>
    <row r="63" spans="1:8" x14ac:dyDescent="0.25">
      <c r="A63" s="1">
        <v>45719</v>
      </c>
      <c r="B63" t="s">
        <v>69</v>
      </c>
      <c r="C63" t="s">
        <v>250</v>
      </c>
      <c r="D63">
        <v>134</v>
      </c>
      <c r="E63">
        <v>38.44</v>
      </c>
      <c r="F63">
        <v>331</v>
      </c>
      <c r="G63">
        <v>24</v>
      </c>
      <c r="H63">
        <v>17.91</v>
      </c>
    </row>
    <row r="64" spans="1:8" x14ac:dyDescent="0.25">
      <c r="A64" s="1">
        <v>45720</v>
      </c>
      <c r="B64" t="s">
        <v>70</v>
      </c>
      <c r="C64" t="s">
        <v>247</v>
      </c>
      <c r="D64">
        <v>129</v>
      </c>
      <c r="E64">
        <v>41.68</v>
      </c>
      <c r="F64">
        <v>261</v>
      </c>
      <c r="G64">
        <v>16</v>
      </c>
      <c r="H64">
        <v>12.4</v>
      </c>
    </row>
    <row r="65" spans="1:8" x14ac:dyDescent="0.25">
      <c r="A65" s="1">
        <v>45721</v>
      </c>
      <c r="B65" t="s">
        <v>71</v>
      </c>
      <c r="C65" t="s">
        <v>249</v>
      </c>
      <c r="D65">
        <v>454</v>
      </c>
      <c r="E65">
        <v>44.41</v>
      </c>
      <c r="F65">
        <v>95</v>
      </c>
      <c r="G65">
        <v>30</v>
      </c>
      <c r="H65">
        <v>6.61</v>
      </c>
    </row>
    <row r="66" spans="1:8" x14ac:dyDescent="0.25">
      <c r="A66" s="1">
        <v>45722</v>
      </c>
      <c r="B66" t="s">
        <v>72</v>
      </c>
      <c r="C66" t="s">
        <v>252</v>
      </c>
      <c r="D66">
        <v>451</v>
      </c>
      <c r="E66">
        <v>50.22</v>
      </c>
      <c r="F66">
        <v>204</v>
      </c>
      <c r="G66">
        <v>37</v>
      </c>
      <c r="H66">
        <v>8.1999999999999993</v>
      </c>
    </row>
    <row r="67" spans="1:8" x14ac:dyDescent="0.25">
      <c r="A67" s="1">
        <v>45723</v>
      </c>
      <c r="B67" t="s">
        <v>73</v>
      </c>
      <c r="C67" t="s">
        <v>247</v>
      </c>
      <c r="D67">
        <v>444</v>
      </c>
      <c r="E67">
        <v>69.709999999999994</v>
      </c>
      <c r="F67">
        <v>220</v>
      </c>
      <c r="G67">
        <v>8</v>
      </c>
      <c r="H67">
        <v>1.8</v>
      </c>
    </row>
    <row r="68" spans="1:8" x14ac:dyDescent="0.25">
      <c r="A68" s="1">
        <v>45724</v>
      </c>
      <c r="B68" t="s">
        <v>74</v>
      </c>
      <c r="C68" t="s">
        <v>251</v>
      </c>
      <c r="D68">
        <v>50</v>
      </c>
      <c r="E68">
        <v>47</v>
      </c>
      <c r="F68">
        <v>200</v>
      </c>
      <c r="G68">
        <v>39</v>
      </c>
      <c r="H68">
        <v>78</v>
      </c>
    </row>
    <row r="69" spans="1:8" x14ac:dyDescent="0.25">
      <c r="A69" s="1">
        <v>45725</v>
      </c>
      <c r="B69" t="s">
        <v>75</v>
      </c>
      <c r="C69" t="s">
        <v>251</v>
      </c>
      <c r="D69">
        <v>276</v>
      </c>
      <c r="E69">
        <v>45.26</v>
      </c>
      <c r="F69">
        <v>71</v>
      </c>
      <c r="G69">
        <v>44</v>
      </c>
      <c r="H69">
        <v>15.94</v>
      </c>
    </row>
    <row r="70" spans="1:8" x14ac:dyDescent="0.25">
      <c r="A70" s="1">
        <v>45726</v>
      </c>
      <c r="B70" t="s">
        <v>76</v>
      </c>
      <c r="C70" t="s">
        <v>248</v>
      </c>
      <c r="D70">
        <v>169</v>
      </c>
      <c r="E70">
        <v>63.19</v>
      </c>
      <c r="F70">
        <v>251</v>
      </c>
      <c r="G70">
        <v>7</v>
      </c>
      <c r="H70">
        <v>4.1399999999999997</v>
      </c>
    </row>
    <row r="71" spans="1:8" x14ac:dyDescent="0.25">
      <c r="A71" s="1">
        <v>45727</v>
      </c>
      <c r="B71" t="s">
        <v>77</v>
      </c>
      <c r="C71" t="s">
        <v>252</v>
      </c>
      <c r="D71">
        <v>168</v>
      </c>
      <c r="E71">
        <v>59.5</v>
      </c>
      <c r="F71">
        <v>217</v>
      </c>
      <c r="G71">
        <v>12</v>
      </c>
      <c r="H71">
        <v>7.14</v>
      </c>
    </row>
    <row r="72" spans="1:8" x14ac:dyDescent="0.25">
      <c r="A72" s="1">
        <v>45728</v>
      </c>
      <c r="B72" t="s">
        <v>78</v>
      </c>
      <c r="C72" t="s">
        <v>248</v>
      </c>
      <c r="D72">
        <v>206</v>
      </c>
      <c r="E72">
        <v>42.84</v>
      </c>
      <c r="F72">
        <v>223</v>
      </c>
      <c r="G72">
        <v>6</v>
      </c>
      <c r="H72">
        <v>2.91</v>
      </c>
    </row>
    <row r="73" spans="1:8" x14ac:dyDescent="0.25">
      <c r="A73" s="1">
        <v>45729</v>
      </c>
      <c r="B73" t="s">
        <v>79</v>
      </c>
      <c r="C73" t="s">
        <v>247</v>
      </c>
      <c r="D73">
        <v>475</v>
      </c>
      <c r="E73">
        <v>66.75</v>
      </c>
      <c r="F73">
        <v>76</v>
      </c>
      <c r="G73">
        <v>25</v>
      </c>
      <c r="H73">
        <v>5.26</v>
      </c>
    </row>
    <row r="74" spans="1:8" x14ac:dyDescent="0.25">
      <c r="A74" s="1">
        <v>45730</v>
      </c>
      <c r="B74" t="s">
        <v>80</v>
      </c>
      <c r="C74" t="s">
        <v>249</v>
      </c>
      <c r="D74">
        <v>223</v>
      </c>
      <c r="E74">
        <v>36.86</v>
      </c>
      <c r="F74">
        <v>209</v>
      </c>
      <c r="G74">
        <v>30</v>
      </c>
      <c r="H74">
        <v>13.45</v>
      </c>
    </row>
    <row r="75" spans="1:8" x14ac:dyDescent="0.25">
      <c r="A75" s="1">
        <v>45731</v>
      </c>
      <c r="B75" t="s">
        <v>81</v>
      </c>
      <c r="C75" t="s">
        <v>252</v>
      </c>
      <c r="D75">
        <v>494</v>
      </c>
      <c r="E75">
        <v>66.84</v>
      </c>
      <c r="F75">
        <v>222</v>
      </c>
      <c r="G75">
        <v>11</v>
      </c>
      <c r="H75">
        <v>2.23</v>
      </c>
    </row>
    <row r="76" spans="1:8" x14ac:dyDescent="0.25">
      <c r="A76" s="1">
        <v>45732</v>
      </c>
      <c r="B76" t="s">
        <v>82</v>
      </c>
      <c r="C76" t="s">
        <v>250</v>
      </c>
      <c r="D76">
        <v>264</v>
      </c>
      <c r="E76">
        <v>58.19</v>
      </c>
      <c r="F76">
        <v>112</v>
      </c>
      <c r="G76">
        <v>30</v>
      </c>
      <c r="H76">
        <v>11.36</v>
      </c>
    </row>
    <row r="77" spans="1:8" x14ac:dyDescent="0.25">
      <c r="A77" s="1">
        <v>45733</v>
      </c>
      <c r="B77" t="s">
        <v>83</v>
      </c>
      <c r="C77" t="s">
        <v>252</v>
      </c>
      <c r="D77">
        <v>137</v>
      </c>
      <c r="E77">
        <v>57.31</v>
      </c>
      <c r="F77">
        <v>262</v>
      </c>
      <c r="G77">
        <v>43</v>
      </c>
      <c r="H77">
        <v>31.39</v>
      </c>
    </row>
    <row r="78" spans="1:8" x14ac:dyDescent="0.25">
      <c r="A78" s="1">
        <v>45734</v>
      </c>
      <c r="B78" t="s">
        <v>84</v>
      </c>
      <c r="C78" t="s">
        <v>247</v>
      </c>
      <c r="D78">
        <v>526</v>
      </c>
      <c r="E78">
        <v>62.13</v>
      </c>
      <c r="F78">
        <v>151</v>
      </c>
      <c r="G78">
        <v>37</v>
      </c>
      <c r="H78">
        <v>7.03</v>
      </c>
    </row>
    <row r="79" spans="1:8" x14ac:dyDescent="0.25">
      <c r="A79" s="1">
        <v>45735</v>
      </c>
      <c r="B79" t="s">
        <v>85</v>
      </c>
      <c r="C79" t="s">
        <v>249</v>
      </c>
      <c r="D79">
        <v>293</v>
      </c>
      <c r="E79">
        <v>47.36</v>
      </c>
      <c r="F79">
        <v>181</v>
      </c>
      <c r="G79">
        <v>26</v>
      </c>
      <c r="H79">
        <v>8.8699999999999992</v>
      </c>
    </row>
    <row r="80" spans="1:8" x14ac:dyDescent="0.25">
      <c r="A80" s="1">
        <v>45736</v>
      </c>
      <c r="B80" t="s">
        <v>86</v>
      </c>
      <c r="C80" t="s">
        <v>249</v>
      </c>
      <c r="D80">
        <v>426</v>
      </c>
      <c r="E80">
        <v>37.28</v>
      </c>
      <c r="F80">
        <v>241</v>
      </c>
      <c r="G80">
        <v>11</v>
      </c>
      <c r="H80">
        <v>2.58</v>
      </c>
    </row>
    <row r="81" spans="1:8" x14ac:dyDescent="0.25">
      <c r="A81" s="1">
        <v>45737</v>
      </c>
      <c r="B81" t="s">
        <v>87</v>
      </c>
      <c r="C81" t="s">
        <v>249</v>
      </c>
      <c r="D81">
        <v>61</v>
      </c>
      <c r="E81">
        <v>50.07</v>
      </c>
      <c r="F81">
        <v>333</v>
      </c>
      <c r="G81">
        <v>23</v>
      </c>
      <c r="H81">
        <v>37.700000000000003</v>
      </c>
    </row>
    <row r="82" spans="1:8" x14ac:dyDescent="0.25">
      <c r="A82" s="1">
        <v>45738</v>
      </c>
      <c r="B82" t="s">
        <v>88</v>
      </c>
      <c r="C82" t="s">
        <v>247</v>
      </c>
      <c r="D82">
        <v>456</v>
      </c>
      <c r="E82">
        <v>67.05</v>
      </c>
      <c r="F82">
        <v>82</v>
      </c>
      <c r="G82">
        <v>17</v>
      </c>
      <c r="H82">
        <v>3.73</v>
      </c>
    </row>
    <row r="83" spans="1:8" x14ac:dyDescent="0.25">
      <c r="A83" s="1">
        <v>45739</v>
      </c>
      <c r="B83" t="s">
        <v>89</v>
      </c>
      <c r="C83" t="s">
        <v>249</v>
      </c>
      <c r="D83">
        <v>143</v>
      </c>
      <c r="E83">
        <v>60.22</v>
      </c>
      <c r="F83">
        <v>151</v>
      </c>
      <c r="G83">
        <v>17</v>
      </c>
      <c r="H83">
        <v>11.89</v>
      </c>
    </row>
    <row r="84" spans="1:8" x14ac:dyDescent="0.25">
      <c r="A84" s="1">
        <v>45740</v>
      </c>
      <c r="B84" t="s">
        <v>90</v>
      </c>
      <c r="C84" t="s">
        <v>249</v>
      </c>
      <c r="D84">
        <v>409</v>
      </c>
      <c r="E84">
        <v>27.98</v>
      </c>
      <c r="F84">
        <v>63</v>
      </c>
      <c r="G84">
        <v>35</v>
      </c>
      <c r="H84">
        <v>8.56</v>
      </c>
    </row>
    <row r="85" spans="1:8" x14ac:dyDescent="0.25">
      <c r="A85" s="1">
        <v>45741</v>
      </c>
      <c r="B85" t="s">
        <v>91</v>
      </c>
      <c r="C85" t="s">
        <v>248</v>
      </c>
      <c r="D85">
        <v>360</v>
      </c>
      <c r="E85">
        <v>42.08</v>
      </c>
      <c r="F85">
        <v>265</v>
      </c>
      <c r="G85">
        <v>17</v>
      </c>
      <c r="H85">
        <v>4.72</v>
      </c>
    </row>
    <row r="86" spans="1:8" x14ac:dyDescent="0.25">
      <c r="A86" s="1">
        <v>45742</v>
      </c>
      <c r="B86" t="s">
        <v>92</v>
      </c>
      <c r="C86" t="s">
        <v>248</v>
      </c>
      <c r="D86">
        <v>442</v>
      </c>
      <c r="E86">
        <v>30.78</v>
      </c>
      <c r="F86">
        <v>133</v>
      </c>
      <c r="G86">
        <v>13</v>
      </c>
      <c r="H86">
        <v>2.94</v>
      </c>
    </row>
    <row r="87" spans="1:8" x14ac:dyDescent="0.25">
      <c r="A87" s="1">
        <v>45743</v>
      </c>
      <c r="B87" t="s">
        <v>93</v>
      </c>
      <c r="C87" t="s">
        <v>252</v>
      </c>
      <c r="D87">
        <v>140</v>
      </c>
      <c r="E87">
        <v>57.34</v>
      </c>
      <c r="F87">
        <v>74</v>
      </c>
      <c r="G87">
        <v>4</v>
      </c>
      <c r="H87">
        <v>2.86</v>
      </c>
    </row>
    <row r="88" spans="1:8" x14ac:dyDescent="0.25">
      <c r="A88" s="1">
        <v>45744</v>
      </c>
      <c r="B88" t="s">
        <v>94</v>
      </c>
      <c r="C88" t="s">
        <v>252</v>
      </c>
      <c r="D88">
        <v>195</v>
      </c>
      <c r="E88">
        <v>54.92</v>
      </c>
      <c r="F88">
        <v>137</v>
      </c>
      <c r="G88">
        <v>27</v>
      </c>
      <c r="H88">
        <v>13.85</v>
      </c>
    </row>
    <row r="89" spans="1:8" x14ac:dyDescent="0.25">
      <c r="A89" s="1">
        <v>45745</v>
      </c>
      <c r="B89" t="s">
        <v>95</v>
      </c>
      <c r="C89" t="s">
        <v>248</v>
      </c>
      <c r="D89">
        <v>194</v>
      </c>
      <c r="E89">
        <v>60.78</v>
      </c>
      <c r="F89">
        <v>357</v>
      </c>
      <c r="G89">
        <v>29</v>
      </c>
      <c r="H89">
        <v>14.95</v>
      </c>
    </row>
    <row r="90" spans="1:8" x14ac:dyDescent="0.25">
      <c r="A90" s="1">
        <v>45746</v>
      </c>
      <c r="B90" t="s">
        <v>96</v>
      </c>
      <c r="C90" t="s">
        <v>248</v>
      </c>
      <c r="D90">
        <v>106</v>
      </c>
      <c r="E90">
        <v>27.38</v>
      </c>
      <c r="F90">
        <v>218</v>
      </c>
      <c r="G90">
        <v>38</v>
      </c>
      <c r="H90">
        <v>35.85</v>
      </c>
    </row>
    <row r="91" spans="1:8" x14ac:dyDescent="0.25">
      <c r="A91" s="1">
        <v>45747</v>
      </c>
      <c r="B91" t="s">
        <v>97</v>
      </c>
      <c r="C91" t="s">
        <v>250</v>
      </c>
      <c r="D91">
        <v>295</v>
      </c>
      <c r="E91">
        <v>54.72</v>
      </c>
      <c r="F91">
        <v>163</v>
      </c>
      <c r="G91">
        <v>26</v>
      </c>
      <c r="H91">
        <v>8.81</v>
      </c>
    </row>
    <row r="92" spans="1:8" x14ac:dyDescent="0.25">
      <c r="A92" s="1">
        <v>45748</v>
      </c>
      <c r="B92" t="s">
        <v>98</v>
      </c>
      <c r="C92" t="s">
        <v>248</v>
      </c>
      <c r="D92">
        <v>224</v>
      </c>
      <c r="E92">
        <v>33.049999999999997</v>
      </c>
      <c r="F92">
        <v>336</v>
      </c>
      <c r="G92">
        <v>36</v>
      </c>
      <c r="H92">
        <v>16.07</v>
      </c>
    </row>
    <row r="93" spans="1:8" x14ac:dyDescent="0.25">
      <c r="A93" s="1">
        <v>45749</v>
      </c>
      <c r="B93" t="s">
        <v>99</v>
      </c>
      <c r="C93" t="s">
        <v>251</v>
      </c>
      <c r="D93">
        <v>117</v>
      </c>
      <c r="E93">
        <v>55.07</v>
      </c>
      <c r="F93">
        <v>292</v>
      </c>
      <c r="G93">
        <v>23</v>
      </c>
      <c r="H93">
        <v>19.66</v>
      </c>
    </row>
    <row r="94" spans="1:8" x14ac:dyDescent="0.25">
      <c r="A94" s="1">
        <v>45750</v>
      </c>
      <c r="B94" t="s">
        <v>100</v>
      </c>
      <c r="C94" t="s">
        <v>247</v>
      </c>
      <c r="D94">
        <v>290</v>
      </c>
      <c r="E94">
        <v>68.89</v>
      </c>
      <c r="F94">
        <v>284</v>
      </c>
      <c r="G94">
        <v>9</v>
      </c>
      <c r="H94">
        <v>3.1</v>
      </c>
    </row>
    <row r="95" spans="1:8" x14ac:dyDescent="0.25">
      <c r="A95" s="1">
        <v>45751</v>
      </c>
      <c r="B95" t="s">
        <v>101</v>
      </c>
      <c r="C95" t="s">
        <v>248</v>
      </c>
      <c r="D95">
        <v>342</v>
      </c>
      <c r="E95">
        <v>30.08</v>
      </c>
      <c r="F95">
        <v>255</v>
      </c>
      <c r="G95">
        <v>2</v>
      </c>
      <c r="H95">
        <v>0.57999999999999996</v>
      </c>
    </row>
    <row r="96" spans="1:8" x14ac:dyDescent="0.25">
      <c r="A96" s="1">
        <v>45752</v>
      </c>
      <c r="B96" t="s">
        <v>102</v>
      </c>
      <c r="C96" t="s">
        <v>249</v>
      </c>
      <c r="D96">
        <v>81</v>
      </c>
      <c r="E96">
        <v>50.38</v>
      </c>
      <c r="F96">
        <v>193</v>
      </c>
      <c r="G96">
        <v>32</v>
      </c>
      <c r="H96">
        <v>39.51</v>
      </c>
    </row>
    <row r="97" spans="1:8" x14ac:dyDescent="0.25">
      <c r="A97" s="1">
        <v>45753</v>
      </c>
      <c r="B97" t="s">
        <v>103</v>
      </c>
      <c r="C97" t="s">
        <v>252</v>
      </c>
      <c r="D97">
        <v>354</v>
      </c>
      <c r="E97">
        <v>68.69</v>
      </c>
      <c r="F97">
        <v>243</v>
      </c>
      <c r="G97">
        <v>42</v>
      </c>
      <c r="H97">
        <v>11.86</v>
      </c>
    </row>
    <row r="98" spans="1:8" x14ac:dyDescent="0.25">
      <c r="A98" s="1">
        <v>45754</v>
      </c>
      <c r="B98" t="s">
        <v>104</v>
      </c>
      <c r="C98" t="s">
        <v>248</v>
      </c>
      <c r="D98">
        <v>237</v>
      </c>
      <c r="E98">
        <v>42.25</v>
      </c>
      <c r="F98">
        <v>285</v>
      </c>
      <c r="G98">
        <v>31</v>
      </c>
      <c r="H98">
        <v>13.08</v>
      </c>
    </row>
    <row r="99" spans="1:8" x14ac:dyDescent="0.25">
      <c r="A99" s="1">
        <v>45755</v>
      </c>
      <c r="B99" t="s">
        <v>105</v>
      </c>
      <c r="C99" t="s">
        <v>250</v>
      </c>
      <c r="D99">
        <v>305</v>
      </c>
      <c r="E99">
        <v>56.7</v>
      </c>
      <c r="F99">
        <v>196</v>
      </c>
      <c r="G99">
        <v>29</v>
      </c>
      <c r="H99">
        <v>9.51</v>
      </c>
    </row>
    <row r="100" spans="1:8" x14ac:dyDescent="0.25">
      <c r="A100" s="1">
        <v>45756</v>
      </c>
      <c r="B100" t="s">
        <v>106</v>
      </c>
      <c r="C100" t="s">
        <v>247</v>
      </c>
      <c r="D100">
        <v>370</v>
      </c>
      <c r="E100">
        <v>40.07</v>
      </c>
      <c r="F100">
        <v>281</v>
      </c>
      <c r="G100">
        <v>5</v>
      </c>
      <c r="H100">
        <v>1.35</v>
      </c>
    </row>
    <row r="101" spans="1:8" x14ac:dyDescent="0.25">
      <c r="A101" s="1">
        <v>45757</v>
      </c>
      <c r="B101" t="s">
        <v>107</v>
      </c>
      <c r="C101" t="s">
        <v>250</v>
      </c>
      <c r="D101">
        <v>78</v>
      </c>
      <c r="E101">
        <v>45.62</v>
      </c>
      <c r="F101">
        <v>329</v>
      </c>
      <c r="G101">
        <v>36</v>
      </c>
      <c r="H101">
        <v>46.15</v>
      </c>
    </row>
    <row r="102" spans="1:8" x14ac:dyDescent="0.25">
      <c r="A102" s="1">
        <v>45758</v>
      </c>
      <c r="B102" t="s">
        <v>108</v>
      </c>
      <c r="C102" t="s">
        <v>247</v>
      </c>
      <c r="D102">
        <v>57</v>
      </c>
      <c r="E102">
        <v>67.27</v>
      </c>
      <c r="F102">
        <v>299</v>
      </c>
      <c r="G102">
        <v>28</v>
      </c>
      <c r="H102">
        <v>49.12</v>
      </c>
    </row>
    <row r="103" spans="1:8" x14ac:dyDescent="0.25">
      <c r="A103" s="1">
        <v>45759</v>
      </c>
      <c r="B103" t="s">
        <v>109</v>
      </c>
      <c r="C103" t="s">
        <v>249</v>
      </c>
      <c r="D103">
        <v>396</v>
      </c>
      <c r="E103">
        <v>28.23</v>
      </c>
      <c r="F103">
        <v>99</v>
      </c>
      <c r="G103">
        <v>37</v>
      </c>
      <c r="H103">
        <v>9.34</v>
      </c>
    </row>
    <row r="104" spans="1:8" x14ac:dyDescent="0.25">
      <c r="A104" s="1">
        <v>45760</v>
      </c>
      <c r="B104" t="s">
        <v>110</v>
      </c>
      <c r="C104" t="s">
        <v>248</v>
      </c>
      <c r="D104">
        <v>183</v>
      </c>
      <c r="E104">
        <v>45.45</v>
      </c>
      <c r="F104">
        <v>295</v>
      </c>
      <c r="G104">
        <v>40</v>
      </c>
      <c r="H104">
        <v>21.86</v>
      </c>
    </row>
    <row r="105" spans="1:8" x14ac:dyDescent="0.25">
      <c r="A105" s="1">
        <v>45761</v>
      </c>
      <c r="B105" t="s">
        <v>111</v>
      </c>
      <c r="C105" t="s">
        <v>249</v>
      </c>
      <c r="D105">
        <v>382</v>
      </c>
      <c r="E105">
        <v>25.68</v>
      </c>
      <c r="F105">
        <v>162</v>
      </c>
      <c r="G105">
        <v>27</v>
      </c>
      <c r="H105">
        <v>7.07</v>
      </c>
    </row>
    <row r="106" spans="1:8" x14ac:dyDescent="0.25">
      <c r="A106" s="1">
        <v>45762</v>
      </c>
      <c r="B106" t="s">
        <v>112</v>
      </c>
      <c r="C106" t="s">
        <v>252</v>
      </c>
      <c r="D106">
        <v>263</v>
      </c>
      <c r="E106">
        <v>48.9</v>
      </c>
      <c r="F106">
        <v>89</v>
      </c>
      <c r="G106">
        <v>10</v>
      </c>
      <c r="H106">
        <v>3.8</v>
      </c>
    </row>
    <row r="107" spans="1:8" x14ac:dyDescent="0.25">
      <c r="A107" s="1">
        <v>45763</v>
      </c>
      <c r="B107" t="s">
        <v>113</v>
      </c>
      <c r="C107" t="s">
        <v>250</v>
      </c>
      <c r="D107">
        <v>139</v>
      </c>
      <c r="E107">
        <v>57.53</v>
      </c>
      <c r="F107">
        <v>285</v>
      </c>
      <c r="G107">
        <v>27</v>
      </c>
      <c r="H107">
        <v>19.420000000000002</v>
      </c>
    </row>
    <row r="108" spans="1:8" x14ac:dyDescent="0.25">
      <c r="A108" s="1">
        <v>45764</v>
      </c>
      <c r="B108" t="s">
        <v>114</v>
      </c>
      <c r="C108" t="s">
        <v>248</v>
      </c>
      <c r="D108">
        <v>428</v>
      </c>
      <c r="E108">
        <v>61.29</v>
      </c>
      <c r="F108">
        <v>72</v>
      </c>
      <c r="G108">
        <v>30</v>
      </c>
      <c r="H108">
        <v>7.01</v>
      </c>
    </row>
    <row r="109" spans="1:8" x14ac:dyDescent="0.25">
      <c r="A109" s="1">
        <v>45765</v>
      </c>
      <c r="B109" t="s">
        <v>115</v>
      </c>
      <c r="C109" t="s">
        <v>248</v>
      </c>
      <c r="D109">
        <v>71</v>
      </c>
      <c r="E109">
        <v>40.590000000000003</v>
      </c>
      <c r="F109">
        <v>117</v>
      </c>
      <c r="G109">
        <v>43</v>
      </c>
      <c r="H109">
        <v>60.56</v>
      </c>
    </row>
    <row r="110" spans="1:8" x14ac:dyDescent="0.25">
      <c r="A110" s="1">
        <v>45766</v>
      </c>
      <c r="B110" t="s">
        <v>116</v>
      </c>
      <c r="C110" t="s">
        <v>247</v>
      </c>
      <c r="D110">
        <v>157</v>
      </c>
      <c r="E110">
        <v>57.2</v>
      </c>
      <c r="F110">
        <v>228</v>
      </c>
      <c r="G110">
        <v>20</v>
      </c>
      <c r="H110">
        <v>12.74</v>
      </c>
    </row>
    <row r="111" spans="1:8" x14ac:dyDescent="0.25">
      <c r="A111" s="1">
        <v>45767</v>
      </c>
      <c r="B111" t="s">
        <v>117</v>
      </c>
      <c r="C111" t="s">
        <v>249</v>
      </c>
      <c r="D111">
        <v>426</v>
      </c>
      <c r="E111">
        <v>62.46</v>
      </c>
      <c r="F111">
        <v>180</v>
      </c>
      <c r="G111">
        <v>5</v>
      </c>
      <c r="H111">
        <v>1.17</v>
      </c>
    </row>
    <row r="112" spans="1:8" x14ac:dyDescent="0.25">
      <c r="A112" s="1">
        <v>45768</v>
      </c>
      <c r="B112" t="s">
        <v>118</v>
      </c>
      <c r="C112" t="s">
        <v>252</v>
      </c>
      <c r="D112">
        <v>215</v>
      </c>
      <c r="E112">
        <v>66.22</v>
      </c>
      <c r="F112">
        <v>125</v>
      </c>
      <c r="G112">
        <v>38</v>
      </c>
      <c r="H112">
        <v>17.670000000000002</v>
      </c>
    </row>
    <row r="113" spans="1:8" x14ac:dyDescent="0.25">
      <c r="A113" s="1">
        <v>45769</v>
      </c>
      <c r="B113" t="s">
        <v>119</v>
      </c>
      <c r="C113" t="s">
        <v>247</v>
      </c>
      <c r="D113">
        <v>432</v>
      </c>
      <c r="E113">
        <v>38.06</v>
      </c>
      <c r="F113">
        <v>145</v>
      </c>
      <c r="G113">
        <v>29</v>
      </c>
      <c r="H113">
        <v>6.71</v>
      </c>
    </row>
    <row r="114" spans="1:8" x14ac:dyDescent="0.25">
      <c r="A114" s="1">
        <v>45770</v>
      </c>
      <c r="B114" t="s">
        <v>120</v>
      </c>
      <c r="C114" t="s">
        <v>252</v>
      </c>
      <c r="D114">
        <v>463</v>
      </c>
      <c r="E114">
        <v>61.55</v>
      </c>
      <c r="F114">
        <v>279</v>
      </c>
      <c r="G114">
        <v>42</v>
      </c>
      <c r="H114">
        <v>9.07</v>
      </c>
    </row>
    <row r="115" spans="1:8" x14ac:dyDescent="0.25">
      <c r="A115" s="1">
        <v>45771</v>
      </c>
      <c r="B115" t="s">
        <v>121</v>
      </c>
      <c r="C115" t="s">
        <v>252</v>
      </c>
      <c r="D115">
        <v>200</v>
      </c>
      <c r="E115">
        <v>39.619999999999997</v>
      </c>
      <c r="F115">
        <v>101</v>
      </c>
      <c r="G115">
        <v>16</v>
      </c>
      <c r="H115">
        <v>8</v>
      </c>
    </row>
    <row r="116" spans="1:8" x14ac:dyDescent="0.25">
      <c r="A116" s="1">
        <v>45772</v>
      </c>
      <c r="B116" t="s">
        <v>122</v>
      </c>
      <c r="C116" t="s">
        <v>248</v>
      </c>
      <c r="D116">
        <v>82</v>
      </c>
      <c r="E116">
        <v>26.47</v>
      </c>
      <c r="F116">
        <v>280</v>
      </c>
      <c r="G116">
        <v>29</v>
      </c>
      <c r="H116">
        <v>35.369999999999997</v>
      </c>
    </row>
    <row r="117" spans="1:8" x14ac:dyDescent="0.25">
      <c r="A117" s="1">
        <v>45773</v>
      </c>
      <c r="B117" t="s">
        <v>123</v>
      </c>
      <c r="C117" t="s">
        <v>251</v>
      </c>
      <c r="D117">
        <v>520</v>
      </c>
      <c r="E117">
        <v>60.69</v>
      </c>
      <c r="F117">
        <v>157</v>
      </c>
      <c r="G117">
        <v>16</v>
      </c>
      <c r="H117">
        <v>3.08</v>
      </c>
    </row>
    <row r="118" spans="1:8" x14ac:dyDescent="0.25">
      <c r="A118" s="1">
        <v>45774</v>
      </c>
      <c r="B118" t="s">
        <v>124</v>
      </c>
      <c r="C118" t="s">
        <v>247</v>
      </c>
      <c r="D118">
        <v>60</v>
      </c>
      <c r="E118">
        <v>29.88</v>
      </c>
      <c r="F118">
        <v>328</v>
      </c>
      <c r="G118">
        <v>25</v>
      </c>
      <c r="H118">
        <v>41.67</v>
      </c>
    </row>
    <row r="119" spans="1:8" x14ac:dyDescent="0.25">
      <c r="A119" s="1">
        <v>45775</v>
      </c>
      <c r="B119" t="s">
        <v>125</v>
      </c>
      <c r="C119" t="s">
        <v>247</v>
      </c>
      <c r="D119">
        <v>383</v>
      </c>
      <c r="E119">
        <v>36.96</v>
      </c>
      <c r="F119">
        <v>194</v>
      </c>
      <c r="G119">
        <v>30</v>
      </c>
      <c r="H119">
        <v>7.83</v>
      </c>
    </row>
    <row r="120" spans="1:8" x14ac:dyDescent="0.25">
      <c r="A120" s="1">
        <v>45776</v>
      </c>
      <c r="B120" t="s">
        <v>126</v>
      </c>
      <c r="C120" t="s">
        <v>250</v>
      </c>
      <c r="D120">
        <v>409</v>
      </c>
      <c r="E120">
        <v>26.55</v>
      </c>
      <c r="F120">
        <v>183</v>
      </c>
      <c r="G120">
        <v>2</v>
      </c>
      <c r="H120">
        <v>0.49</v>
      </c>
    </row>
    <row r="121" spans="1:8" x14ac:dyDescent="0.25">
      <c r="A121" s="1">
        <v>45777</v>
      </c>
      <c r="B121" t="s">
        <v>127</v>
      </c>
      <c r="C121" t="s">
        <v>247</v>
      </c>
      <c r="D121">
        <v>514</v>
      </c>
      <c r="E121">
        <v>51.96</v>
      </c>
      <c r="F121">
        <v>114</v>
      </c>
      <c r="G121">
        <v>20</v>
      </c>
      <c r="H121">
        <v>3.89</v>
      </c>
    </row>
    <row r="122" spans="1:8" x14ac:dyDescent="0.25">
      <c r="A122" s="1">
        <v>45778</v>
      </c>
      <c r="B122" t="s">
        <v>128</v>
      </c>
      <c r="C122" t="s">
        <v>247</v>
      </c>
      <c r="D122">
        <v>562</v>
      </c>
      <c r="E122">
        <v>30.4</v>
      </c>
      <c r="F122">
        <v>297</v>
      </c>
      <c r="G122">
        <v>42</v>
      </c>
      <c r="H122">
        <v>7.47</v>
      </c>
    </row>
    <row r="123" spans="1:8" x14ac:dyDescent="0.25">
      <c r="A123" s="1">
        <v>45779</v>
      </c>
      <c r="B123" t="s">
        <v>129</v>
      </c>
      <c r="C123" t="s">
        <v>252</v>
      </c>
      <c r="D123">
        <v>132</v>
      </c>
      <c r="E123">
        <v>43.98</v>
      </c>
      <c r="F123">
        <v>213</v>
      </c>
      <c r="G123">
        <v>33</v>
      </c>
      <c r="H123">
        <v>25</v>
      </c>
    </row>
    <row r="124" spans="1:8" x14ac:dyDescent="0.25">
      <c r="A124" s="1">
        <v>45780</v>
      </c>
      <c r="B124" t="s">
        <v>130</v>
      </c>
      <c r="C124" t="s">
        <v>247</v>
      </c>
      <c r="D124">
        <v>308</v>
      </c>
      <c r="E124">
        <v>35.36</v>
      </c>
      <c r="F124">
        <v>274</v>
      </c>
      <c r="G124">
        <v>19</v>
      </c>
      <c r="H124">
        <v>6.17</v>
      </c>
    </row>
    <row r="125" spans="1:8" x14ac:dyDescent="0.25">
      <c r="A125" s="1">
        <v>45781</v>
      </c>
      <c r="B125" t="s">
        <v>131</v>
      </c>
      <c r="C125" t="s">
        <v>248</v>
      </c>
      <c r="D125">
        <v>64</v>
      </c>
      <c r="E125">
        <v>55.05</v>
      </c>
      <c r="F125">
        <v>269</v>
      </c>
      <c r="G125">
        <v>4</v>
      </c>
      <c r="H125">
        <v>6.25</v>
      </c>
    </row>
    <row r="126" spans="1:8" x14ac:dyDescent="0.25">
      <c r="A126" s="1">
        <v>45782</v>
      </c>
      <c r="B126" t="s">
        <v>132</v>
      </c>
      <c r="C126" t="s">
        <v>248</v>
      </c>
      <c r="D126">
        <v>372</v>
      </c>
      <c r="E126">
        <v>43.87</v>
      </c>
      <c r="F126">
        <v>108</v>
      </c>
      <c r="G126">
        <v>33</v>
      </c>
      <c r="H126">
        <v>8.8699999999999992</v>
      </c>
    </row>
    <row r="127" spans="1:8" x14ac:dyDescent="0.25">
      <c r="A127" s="1">
        <v>45783</v>
      </c>
      <c r="B127" t="s">
        <v>133</v>
      </c>
      <c r="C127" t="s">
        <v>247</v>
      </c>
      <c r="D127">
        <v>337</v>
      </c>
      <c r="E127">
        <v>65.16</v>
      </c>
      <c r="F127">
        <v>226</v>
      </c>
      <c r="G127">
        <v>25</v>
      </c>
      <c r="H127">
        <v>7.42</v>
      </c>
    </row>
    <row r="128" spans="1:8" x14ac:dyDescent="0.25">
      <c r="A128" s="1">
        <v>45784</v>
      </c>
      <c r="B128" t="s">
        <v>134</v>
      </c>
      <c r="C128" t="s">
        <v>252</v>
      </c>
      <c r="D128">
        <v>127</v>
      </c>
      <c r="E128">
        <v>36.86</v>
      </c>
      <c r="F128">
        <v>242</v>
      </c>
      <c r="G128">
        <v>36</v>
      </c>
      <c r="H128">
        <v>28.35</v>
      </c>
    </row>
    <row r="129" spans="1:8" x14ac:dyDescent="0.25">
      <c r="A129" s="1">
        <v>45785</v>
      </c>
      <c r="B129" t="s">
        <v>135</v>
      </c>
      <c r="C129" t="s">
        <v>248</v>
      </c>
      <c r="D129">
        <v>526</v>
      </c>
      <c r="E129">
        <v>51.04</v>
      </c>
      <c r="F129">
        <v>281</v>
      </c>
      <c r="G129">
        <v>1</v>
      </c>
      <c r="H129">
        <v>0.19</v>
      </c>
    </row>
    <row r="130" spans="1:8" x14ac:dyDescent="0.25">
      <c r="A130" s="1">
        <v>45786</v>
      </c>
      <c r="B130" t="s">
        <v>136</v>
      </c>
      <c r="C130" t="s">
        <v>251</v>
      </c>
      <c r="D130">
        <v>219</v>
      </c>
      <c r="E130">
        <v>29.39</v>
      </c>
      <c r="F130">
        <v>156</v>
      </c>
      <c r="G130">
        <v>16</v>
      </c>
      <c r="H130">
        <v>7.31</v>
      </c>
    </row>
    <row r="131" spans="1:8" x14ac:dyDescent="0.25">
      <c r="A131" s="1">
        <v>45787</v>
      </c>
      <c r="B131" t="s">
        <v>137</v>
      </c>
      <c r="C131" t="s">
        <v>249</v>
      </c>
      <c r="D131">
        <v>204</v>
      </c>
      <c r="E131">
        <v>52.45</v>
      </c>
      <c r="F131">
        <v>130</v>
      </c>
      <c r="G131">
        <v>25</v>
      </c>
      <c r="H131">
        <v>12.25</v>
      </c>
    </row>
    <row r="132" spans="1:8" x14ac:dyDescent="0.25">
      <c r="A132" s="1">
        <v>45788</v>
      </c>
      <c r="B132" t="s">
        <v>138</v>
      </c>
      <c r="C132" t="s">
        <v>247</v>
      </c>
      <c r="D132">
        <v>390</v>
      </c>
      <c r="E132">
        <v>41.1</v>
      </c>
      <c r="F132">
        <v>184</v>
      </c>
      <c r="G132">
        <v>35</v>
      </c>
      <c r="H132">
        <v>8.9700000000000006</v>
      </c>
    </row>
    <row r="133" spans="1:8" x14ac:dyDescent="0.25">
      <c r="A133" s="1">
        <v>45789</v>
      </c>
      <c r="B133" t="s">
        <v>139</v>
      </c>
      <c r="C133" t="s">
        <v>248</v>
      </c>
      <c r="D133">
        <v>585</v>
      </c>
      <c r="E133">
        <v>64.040000000000006</v>
      </c>
      <c r="F133">
        <v>268</v>
      </c>
      <c r="G133">
        <v>11</v>
      </c>
      <c r="H133">
        <v>1.88</v>
      </c>
    </row>
    <row r="134" spans="1:8" x14ac:dyDescent="0.25">
      <c r="A134" s="1">
        <v>45790</v>
      </c>
      <c r="B134" t="s">
        <v>140</v>
      </c>
      <c r="C134" t="s">
        <v>251</v>
      </c>
      <c r="D134">
        <v>398</v>
      </c>
      <c r="E134">
        <v>39.33</v>
      </c>
      <c r="F134">
        <v>244</v>
      </c>
      <c r="G134">
        <v>24</v>
      </c>
      <c r="H134">
        <v>6.03</v>
      </c>
    </row>
    <row r="135" spans="1:8" x14ac:dyDescent="0.25">
      <c r="A135" s="1">
        <v>45791</v>
      </c>
      <c r="B135" t="s">
        <v>141</v>
      </c>
      <c r="C135" t="s">
        <v>247</v>
      </c>
      <c r="D135">
        <v>555</v>
      </c>
      <c r="E135">
        <v>62.42</v>
      </c>
      <c r="F135">
        <v>330</v>
      </c>
      <c r="G135">
        <v>35</v>
      </c>
      <c r="H135">
        <v>6.31</v>
      </c>
    </row>
    <row r="136" spans="1:8" x14ac:dyDescent="0.25">
      <c r="A136" s="1">
        <v>45792</v>
      </c>
      <c r="B136" t="s">
        <v>142</v>
      </c>
      <c r="C136" t="s">
        <v>249</v>
      </c>
      <c r="D136">
        <v>97</v>
      </c>
      <c r="E136">
        <v>67.650000000000006</v>
      </c>
      <c r="F136">
        <v>61</v>
      </c>
      <c r="G136">
        <v>21</v>
      </c>
      <c r="H136">
        <v>21.65</v>
      </c>
    </row>
    <row r="137" spans="1:8" x14ac:dyDescent="0.25">
      <c r="A137" s="1">
        <v>45793</v>
      </c>
      <c r="B137" t="s">
        <v>143</v>
      </c>
      <c r="C137" t="s">
        <v>250</v>
      </c>
      <c r="D137">
        <v>477</v>
      </c>
      <c r="E137">
        <v>56.41</v>
      </c>
      <c r="F137">
        <v>90</v>
      </c>
      <c r="G137">
        <v>4</v>
      </c>
      <c r="H137">
        <v>0.84</v>
      </c>
    </row>
    <row r="138" spans="1:8" x14ac:dyDescent="0.25">
      <c r="A138" s="1">
        <v>45794</v>
      </c>
      <c r="B138" t="s">
        <v>144</v>
      </c>
      <c r="C138" t="s">
        <v>248</v>
      </c>
      <c r="D138">
        <v>250</v>
      </c>
      <c r="E138">
        <v>46.76</v>
      </c>
      <c r="F138">
        <v>269</v>
      </c>
      <c r="G138">
        <v>14</v>
      </c>
      <c r="H138">
        <v>5.6</v>
      </c>
    </row>
    <row r="139" spans="1:8" x14ac:dyDescent="0.25">
      <c r="A139" s="1">
        <v>45795</v>
      </c>
      <c r="B139" t="s">
        <v>145</v>
      </c>
      <c r="C139" t="s">
        <v>247</v>
      </c>
      <c r="D139">
        <v>393</v>
      </c>
      <c r="E139">
        <v>36.54</v>
      </c>
      <c r="F139">
        <v>119</v>
      </c>
      <c r="G139">
        <v>27</v>
      </c>
      <c r="H139">
        <v>6.87</v>
      </c>
    </row>
    <row r="140" spans="1:8" x14ac:dyDescent="0.25">
      <c r="A140" s="1">
        <v>45796</v>
      </c>
      <c r="B140" t="s">
        <v>146</v>
      </c>
      <c r="C140" t="s">
        <v>250</v>
      </c>
      <c r="D140">
        <v>431</v>
      </c>
      <c r="E140">
        <v>27.44</v>
      </c>
      <c r="F140">
        <v>175</v>
      </c>
      <c r="G140">
        <v>33</v>
      </c>
      <c r="H140">
        <v>7.66</v>
      </c>
    </row>
    <row r="141" spans="1:8" x14ac:dyDescent="0.25">
      <c r="A141" s="1">
        <v>45797</v>
      </c>
      <c r="B141" t="s">
        <v>147</v>
      </c>
      <c r="C141" t="s">
        <v>248</v>
      </c>
      <c r="D141">
        <v>589</v>
      </c>
      <c r="E141">
        <v>28.33</v>
      </c>
      <c r="F141">
        <v>143</v>
      </c>
      <c r="G141">
        <v>16</v>
      </c>
      <c r="H141">
        <v>2.72</v>
      </c>
    </row>
    <row r="142" spans="1:8" x14ac:dyDescent="0.25">
      <c r="A142" s="1">
        <v>45798</v>
      </c>
      <c r="B142" t="s">
        <v>148</v>
      </c>
      <c r="C142" t="s">
        <v>252</v>
      </c>
      <c r="D142">
        <v>341</v>
      </c>
      <c r="E142">
        <v>68.790000000000006</v>
      </c>
      <c r="F142">
        <v>166</v>
      </c>
      <c r="G142">
        <v>44</v>
      </c>
      <c r="H142">
        <v>12.9</v>
      </c>
    </row>
    <row r="143" spans="1:8" x14ac:dyDescent="0.25">
      <c r="A143" s="1">
        <v>45799</v>
      </c>
      <c r="B143" t="s">
        <v>149</v>
      </c>
      <c r="C143" t="s">
        <v>247</v>
      </c>
      <c r="D143">
        <v>256</v>
      </c>
      <c r="E143">
        <v>43.54</v>
      </c>
      <c r="F143">
        <v>216</v>
      </c>
      <c r="G143">
        <v>2</v>
      </c>
      <c r="H143">
        <v>0.78</v>
      </c>
    </row>
    <row r="144" spans="1:8" x14ac:dyDescent="0.25">
      <c r="A144" s="1">
        <v>45800</v>
      </c>
      <c r="B144" t="s">
        <v>150</v>
      </c>
      <c r="C144" t="s">
        <v>247</v>
      </c>
      <c r="D144">
        <v>200</v>
      </c>
      <c r="E144">
        <v>47.13</v>
      </c>
      <c r="F144">
        <v>321</v>
      </c>
      <c r="G144">
        <v>33</v>
      </c>
      <c r="H144">
        <v>16.5</v>
      </c>
    </row>
    <row r="145" spans="1:8" x14ac:dyDescent="0.25">
      <c r="A145" s="1">
        <v>45801</v>
      </c>
      <c r="B145" t="s">
        <v>151</v>
      </c>
      <c r="C145" t="s">
        <v>249</v>
      </c>
      <c r="D145">
        <v>167</v>
      </c>
      <c r="E145">
        <v>51.61</v>
      </c>
      <c r="F145">
        <v>208</v>
      </c>
      <c r="G145">
        <v>2</v>
      </c>
      <c r="H145">
        <v>1.2</v>
      </c>
    </row>
    <row r="146" spans="1:8" x14ac:dyDescent="0.25">
      <c r="A146" s="1">
        <v>45802</v>
      </c>
      <c r="B146" t="s">
        <v>152</v>
      </c>
      <c r="C146" t="s">
        <v>248</v>
      </c>
      <c r="D146">
        <v>592</v>
      </c>
      <c r="E146">
        <v>48.61</v>
      </c>
      <c r="F146">
        <v>100</v>
      </c>
      <c r="G146">
        <v>23</v>
      </c>
      <c r="H146">
        <v>3.89</v>
      </c>
    </row>
    <row r="147" spans="1:8" x14ac:dyDescent="0.25">
      <c r="A147" s="1">
        <v>45803</v>
      </c>
      <c r="B147" t="s">
        <v>153</v>
      </c>
      <c r="C147" t="s">
        <v>247</v>
      </c>
      <c r="D147">
        <v>156</v>
      </c>
      <c r="E147">
        <v>60.09</v>
      </c>
      <c r="F147">
        <v>105</v>
      </c>
      <c r="G147">
        <v>2</v>
      </c>
      <c r="H147">
        <v>1.28</v>
      </c>
    </row>
    <row r="148" spans="1:8" x14ac:dyDescent="0.25">
      <c r="A148" s="1">
        <v>45804</v>
      </c>
      <c r="B148" t="s">
        <v>154</v>
      </c>
      <c r="C148" t="s">
        <v>247</v>
      </c>
      <c r="D148">
        <v>491</v>
      </c>
      <c r="E148">
        <v>59.35</v>
      </c>
      <c r="F148">
        <v>331</v>
      </c>
      <c r="G148">
        <v>22</v>
      </c>
      <c r="H148">
        <v>4.4800000000000004</v>
      </c>
    </row>
    <row r="149" spans="1:8" x14ac:dyDescent="0.25">
      <c r="A149" s="1">
        <v>45805</v>
      </c>
      <c r="B149" t="s">
        <v>155</v>
      </c>
      <c r="C149" t="s">
        <v>249</v>
      </c>
      <c r="D149">
        <v>298</v>
      </c>
      <c r="E149">
        <v>30.9</v>
      </c>
      <c r="F149">
        <v>113</v>
      </c>
      <c r="G149">
        <v>42</v>
      </c>
      <c r="H149">
        <v>14.09</v>
      </c>
    </row>
    <row r="150" spans="1:8" x14ac:dyDescent="0.25">
      <c r="A150" s="1">
        <v>45806</v>
      </c>
      <c r="B150" t="s">
        <v>156</v>
      </c>
      <c r="C150" t="s">
        <v>247</v>
      </c>
      <c r="D150">
        <v>493</v>
      </c>
      <c r="E150">
        <v>37.590000000000003</v>
      </c>
      <c r="F150">
        <v>141</v>
      </c>
      <c r="G150">
        <v>37</v>
      </c>
      <c r="H150">
        <v>7.51</v>
      </c>
    </row>
    <row r="151" spans="1:8" x14ac:dyDescent="0.25">
      <c r="A151" s="1">
        <v>45807</v>
      </c>
      <c r="B151" t="s">
        <v>157</v>
      </c>
      <c r="C151" t="s">
        <v>247</v>
      </c>
      <c r="D151">
        <v>392</v>
      </c>
      <c r="E151">
        <v>31.93</v>
      </c>
      <c r="F151">
        <v>325</v>
      </c>
      <c r="G151">
        <v>15</v>
      </c>
      <c r="H151">
        <v>3.83</v>
      </c>
    </row>
    <row r="152" spans="1:8" x14ac:dyDescent="0.25">
      <c r="A152" s="1">
        <v>45808</v>
      </c>
      <c r="B152" t="s">
        <v>158</v>
      </c>
      <c r="C152" t="s">
        <v>247</v>
      </c>
      <c r="D152">
        <v>205</v>
      </c>
      <c r="E152">
        <v>31.45</v>
      </c>
      <c r="F152">
        <v>341</v>
      </c>
      <c r="G152">
        <v>9</v>
      </c>
      <c r="H152">
        <v>4.3899999999999997</v>
      </c>
    </row>
    <row r="153" spans="1:8" x14ac:dyDescent="0.25">
      <c r="A153" s="1">
        <v>45809</v>
      </c>
      <c r="B153" t="s">
        <v>159</v>
      </c>
      <c r="C153" t="s">
        <v>252</v>
      </c>
      <c r="D153">
        <v>436</v>
      </c>
      <c r="E153">
        <v>53.6</v>
      </c>
      <c r="F153">
        <v>349</v>
      </c>
      <c r="G153">
        <v>29</v>
      </c>
      <c r="H153">
        <v>6.65</v>
      </c>
    </row>
    <row r="154" spans="1:8" x14ac:dyDescent="0.25">
      <c r="A154" s="1">
        <v>45810</v>
      </c>
      <c r="B154" t="s">
        <v>160</v>
      </c>
      <c r="C154" t="s">
        <v>250</v>
      </c>
      <c r="D154">
        <v>452</v>
      </c>
      <c r="E154">
        <v>35.17</v>
      </c>
      <c r="F154">
        <v>181</v>
      </c>
      <c r="G154">
        <v>20</v>
      </c>
      <c r="H154">
        <v>4.42</v>
      </c>
    </row>
    <row r="155" spans="1:8" x14ac:dyDescent="0.25">
      <c r="A155" s="1">
        <v>45811</v>
      </c>
      <c r="B155" t="s">
        <v>161</v>
      </c>
      <c r="C155" t="s">
        <v>249</v>
      </c>
      <c r="D155">
        <v>535</v>
      </c>
      <c r="E155">
        <v>62.35</v>
      </c>
      <c r="F155">
        <v>98</v>
      </c>
      <c r="G155">
        <v>4</v>
      </c>
      <c r="H155">
        <v>0.75</v>
      </c>
    </row>
    <row r="156" spans="1:8" x14ac:dyDescent="0.25">
      <c r="A156" s="1">
        <v>45812</v>
      </c>
      <c r="B156" t="s">
        <v>162</v>
      </c>
      <c r="C156" t="s">
        <v>247</v>
      </c>
      <c r="D156">
        <v>579</v>
      </c>
      <c r="E156">
        <v>64.97</v>
      </c>
      <c r="F156">
        <v>316</v>
      </c>
      <c r="G156">
        <v>10</v>
      </c>
      <c r="H156">
        <v>1.73</v>
      </c>
    </row>
    <row r="157" spans="1:8" x14ac:dyDescent="0.25">
      <c r="A157" s="1">
        <v>45813</v>
      </c>
      <c r="B157" t="s">
        <v>163</v>
      </c>
      <c r="C157" t="s">
        <v>249</v>
      </c>
      <c r="D157">
        <v>102</v>
      </c>
      <c r="E157">
        <v>37.26</v>
      </c>
      <c r="F157">
        <v>196</v>
      </c>
      <c r="G157">
        <v>27</v>
      </c>
      <c r="H157">
        <v>26.47</v>
      </c>
    </row>
    <row r="158" spans="1:8" x14ac:dyDescent="0.25">
      <c r="A158" s="1">
        <v>45814</v>
      </c>
      <c r="B158" t="s">
        <v>164</v>
      </c>
      <c r="C158" t="s">
        <v>252</v>
      </c>
      <c r="D158">
        <v>515</v>
      </c>
      <c r="E158">
        <v>58.85</v>
      </c>
      <c r="F158">
        <v>185</v>
      </c>
      <c r="G158">
        <v>24</v>
      </c>
      <c r="H158">
        <v>4.66</v>
      </c>
    </row>
    <row r="159" spans="1:8" x14ac:dyDescent="0.25">
      <c r="A159" s="1">
        <v>45815</v>
      </c>
      <c r="B159" t="s">
        <v>165</v>
      </c>
      <c r="C159" t="s">
        <v>251</v>
      </c>
      <c r="D159">
        <v>566</v>
      </c>
      <c r="E159">
        <v>37.14</v>
      </c>
      <c r="F159">
        <v>280</v>
      </c>
      <c r="G159">
        <v>44</v>
      </c>
      <c r="H159">
        <v>7.77</v>
      </c>
    </row>
    <row r="160" spans="1:8" x14ac:dyDescent="0.25">
      <c r="A160" s="1">
        <v>45816</v>
      </c>
      <c r="B160" t="s">
        <v>166</v>
      </c>
      <c r="C160" t="s">
        <v>251</v>
      </c>
      <c r="D160">
        <v>271</v>
      </c>
      <c r="E160">
        <v>27.19</v>
      </c>
      <c r="F160">
        <v>152</v>
      </c>
      <c r="G160">
        <v>2</v>
      </c>
      <c r="H160">
        <v>0.74</v>
      </c>
    </row>
    <row r="161" spans="1:8" x14ac:dyDescent="0.25">
      <c r="A161" s="1">
        <v>45817</v>
      </c>
      <c r="B161" t="s">
        <v>167</v>
      </c>
      <c r="C161" t="s">
        <v>247</v>
      </c>
      <c r="D161">
        <v>273</v>
      </c>
      <c r="E161">
        <v>57.8</v>
      </c>
      <c r="F161">
        <v>284</v>
      </c>
      <c r="G161">
        <v>24</v>
      </c>
      <c r="H161">
        <v>8.7899999999999991</v>
      </c>
    </row>
    <row r="162" spans="1:8" x14ac:dyDescent="0.25">
      <c r="A162" s="1">
        <v>45818</v>
      </c>
      <c r="B162" t="s">
        <v>168</v>
      </c>
      <c r="C162" t="s">
        <v>247</v>
      </c>
      <c r="D162">
        <v>565</v>
      </c>
      <c r="E162">
        <v>42.24</v>
      </c>
      <c r="F162">
        <v>269</v>
      </c>
      <c r="G162">
        <v>28</v>
      </c>
      <c r="H162">
        <v>4.96</v>
      </c>
    </row>
    <row r="163" spans="1:8" x14ac:dyDescent="0.25">
      <c r="A163" s="1">
        <v>45819</v>
      </c>
      <c r="B163" t="s">
        <v>169</v>
      </c>
      <c r="C163" t="s">
        <v>248</v>
      </c>
      <c r="D163">
        <v>503</v>
      </c>
      <c r="E163">
        <v>69.13</v>
      </c>
      <c r="F163">
        <v>285</v>
      </c>
      <c r="G163">
        <v>43</v>
      </c>
      <c r="H163">
        <v>8.5500000000000007</v>
      </c>
    </row>
    <row r="164" spans="1:8" x14ac:dyDescent="0.25">
      <c r="A164" s="1">
        <v>45820</v>
      </c>
      <c r="B164" t="s">
        <v>170</v>
      </c>
      <c r="C164" t="s">
        <v>251</v>
      </c>
      <c r="D164">
        <v>298</v>
      </c>
      <c r="E164">
        <v>54.28</v>
      </c>
      <c r="F164">
        <v>195</v>
      </c>
      <c r="G164">
        <v>19</v>
      </c>
      <c r="H164">
        <v>6.38</v>
      </c>
    </row>
    <row r="165" spans="1:8" x14ac:dyDescent="0.25">
      <c r="A165" s="1">
        <v>45821</v>
      </c>
      <c r="B165" t="s">
        <v>171</v>
      </c>
      <c r="C165" t="s">
        <v>252</v>
      </c>
      <c r="D165">
        <v>112</v>
      </c>
      <c r="E165">
        <v>34.74</v>
      </c>
      <c r="F165">
        <v>192</v>
      </c>
      <c r="G165">
        <v>28</v>
      </c>
      <c r="H165">
        <v>25</v>
      </c>
    </row>
    <row r="166" spans="1:8" x14ac:dyDescent="0.25">
      <c r="A166" s="1">
        <v>45822</v>
      </c>
      <c r="B166" t="s">
        <v>172</v>
      </c>
      <c r="C166" t="s">
        <v>248</v>
      </c>
      <c r="D166">
        <v>50</v>
      </c>
      <c r="E166">
        <v>46.1</v>
      </c>
      <c r="F166">
        <v>129</v>
      </c>
      <c r="G166">
        <v>11</v>
      </c>
      <c r="H166">
        <v>22</v>
      </c>
    </row>
    <row r="167" spans="1:8" x14ac:dyDescent="0.25">
      <c r="A167" s="1">
        <v>45823</v>
      </c>
      <c r="B167" t="s">
        <v>84</v>
      </c>
      <c r="C167" t="s">
        <v>248</v>
      </c>
      <c r="D167">
        <v>540</v>
      </c>
      <c r="E167">
        <v>29.77</v>
      </c>
      <c r="F167">
        <v>107</v>
      </c>
      <c r="G167">
        <v>32</v>
      </c>
      <c r="H167">
        <v>5.93</v>
      </c>
    </row>
    <row r="168" spans="1:8" x14ac:dyDescent="0.25">
      <c r="A168" s="1">
        <v>45824</v>
      </c>
      <c r="B168" t="s">
        <v>173</v>
      </c>
      <c r="C168" t="s">
        <v>252</v>
      </c>
      <c r="D168">
        <v>414</v>
      </c>
      <c r="E168">
        <v>69.28</v>
      </c>
      <c r="F168">
        <v>289</v>
      </c>
      <c r="G168">
        <v>21</v>
      </c>
      <c r="H168">
        <v>5.07</v>
      </c>
    </row>
    <row r="169" spans="1:8" x14ac:dyDescent="0.25">
      <c r="A169" s="1">
        <v>45825</v>
      </c>
      <c r="B169" t="s">
        <v>174</v>
      </c>
      <c r="C169" t="s">
        <v>248</v>
      </c>
      <c r="D169">
        <v>170</v>
      </c>
      <c r="E169">
        <v>37.64</v>
      </c>
      <c r="F169">
        <v>90</v>
      </c>
      <c r="G169">
        <v>4</v>
      </c>
      <c r="H169">
        <v>2.35</v>
      </c>
    </row>
    <row r="170" spans="1:8" x14ac:dyDescent="0.25">
      <c r="A170" s="1">
        <v>45826</v>
      </c>
      <c r="B170" t="s">
        <v>175</v>
      </c>
      <c r="C170" t="s">
        <v>247</v>
      </c>
      <c r="D170">
        <v>129</v>
      </c>
      <c r="E170">
        <v>36.11</v>
      </c>
      <c r="F170">
        <v>121</v>
      </c>
      <c r="G170">
        <v>41</v>
      </c>
      <c r="H170">
        <v>31.78</v>
      </c>
    </row>
    <row r="171" spans="1:8" x14ac:dyDescent="0.25">
      <c r="A171" s="1">
        <v>45827</v>
      </c>
      <c r="B171" t="s">
        <v>176</v>
      </c>
      <c r="C171" t="s">
        <v>249</v>
      </c>
      <c r="D171">
        <v>494</v>
      </c>
      <c r="E171">
        <v>25.01</v>
      </c>
      <c r="F171">
        <v>60</v>
      </c>
      <c r="G171">
        <v>40</v>
      </c>
      <c r="H171">
        <v>8.1</v>
      </c>
    </row>
    <row r="172" spans="1:8" x14ac:dyDescent="0.25">
      <c r="A172" s="1">
        <v>45828</v>
      </c>
      <c r="B172" t="s">
        <v>177</v>
      </c>
      <c r="C172" t="s">
        <v>249</v>
      </c>
      <c r="D172">
        <v>150</v>
      </c>
      <c r="E172">
        <v>58.3</v>
      </c>
      <c r="F172">
        <v>99</v>
      </c>
      <c r="G172">
        <v>27</v>
      </c>
      <c r="H172">
        <v>18</v>
      </c>
    </row>
    <row r="173" spans="1:8" x14ac:dyDescent="0.25">
      <c r="A173" s="1">
        <v>45829</v>
      </c>
      <c r="B173" t="s">
        <v>178</v>
      </c>
      <c r="C173" t="s">
        <v>247</v>
      </c>
      <c r="D173">
        <v>94</v>
      </c>
      <c r="E173">
        <v>57.47</v>
      </c>
      <c r="F173">
        <v>116</v>
      </c>
      <c r="G173">
        <v>33</v>
      </c>
      <c r="H173">
        <v>35.11</v>
      </c>
    </row>
    <row r="174" spans="1:8" x14ac:dyDescent="0.25">
      <c r="A174" s="1">
        <v>45830</v>
      </c>
      <c r="B174" t="s">
        <v>179</v>
      </c>
      <c r="C174" t="s">
        <v>251</v>
      </c>
      <c r="D174">
        <v>166</v>
      </c>
      <c r="E174">
        <v>52.8</v>
      </c>
      <c r="F174">
        <v>127</v>
      </c>
      <c r="G174">
        <v>40</v>
      </c>
      <c r="H174">
        <v>24.1</v>
      </c>
    </row>
    <row r="175" spans="1:8" x14ac:dyDescent="0.25">
      <c r="A175" s="1">
        <v>45831</v>
      </c>
      <c r="B175" t="s">
        <v>180</v>
      </c>
      <c r="C175" t="s">
        <v>247</v>
      </c>
      <c r="D175">
        <v>530</v>
      </c>
      <c r="E175">
        <v>32.36</v>
      </c>
      <c r="F175">
        <v>144</v>
      </c>
      <c r="G175">
        <v>14</v>
      </c>
      <c r="H175">
        <v>2.64</v>
      </c>
    </row>
    <row r="176" spans="1:8" x14ac:dyDescent="0.25">
      <c r="A176" s="1">
        <v>45832</v>
      </c>
      <c r="B176" t="s">
        <v>181</v>
      </c>
      <c r="C176" t="s">
        <v>250</v>
      </c>
      <c r="D176">
        <v>381</v>
      </c>
      <c r="E176">
        <v>49.97</v>
      </c>
      <c r="F176">
        <v>192</v>
      </c>
      <c r="G176">
        <v>8</v>
      </c>
      <c r="H176">
        <v>2.1</v>
      </c>
    </row>
    <row r="177" spans="1:8" x14ac:dyDescent="0.25">
      <c r="A177" s="1">
        <v>45833</v>
      </c>
      <c r="B177" t="s">
        <v>182</v>
      </c>
      <c r="C177" t="s">
        <v>247</v>
      </c>
      <c r="D177">
        <v>285</v>
      </c>
      <c r="E177">
        <v>38.840000000000003</v>
      </c>
      <c r="F177">
        <v>66</v>
      </c>
      <c r="G177">
        <v>27</v>
      </c>
      <c r="H177">
        <v>9.4700000000000006</v>
      </c>
    </row>
    <row r="178" spans="1:8" x14ac:dyDescent="0.25">
      <c r="A178" s="1">
        <v>45834</v>
      </c>
      <c r="B178" t="s">
        <v>183</v>
      </c>
      <c r="C178" t="s">
        <v>249</v>
      </c>
      <c r="D178">
        <v>243</v>
      </c>
      <c r="E178">
        <v>69.02</v>
      </c>
      <c r="F178">
        <v>225</v>
      </c>
      <c r="G178">
        <v>25</v>
      </c>
      <c r="H178">
        <v>10.29</v>
      </c>
    </row>
    <row r="179" spans="1:8" x14ac:dyDescent="0.25">
      <c r="A179" s="1">
        <v>45835</v>
      </c>
      <c r="B179" t="s">
        <v>184</v>
      </c>
      <c r="C179" t="s">
        <v>249</v>
      </c>
      <c r="D179">
        <v>402</v>
      </c>
      <c r="E179">
        <v>60.08</v>
      </c>
      <c r="F179">
        <v>304</v>
      </c>
      <c r="G179">
        <v>28</v>
      </c>
      <c r="H179">
        <v>6.97</v>
      </c>
    </row>
    <row r="180" spans="1:8" x14ac:dyDescent="0.25">
      <c r="A180" s="1">
        <v>45836</v>
      </c>
      <c r="B180" t="s">
        <v>185</v>
      </c>
      <c r="C180" t="s">
        <v>247</v>
      </c>
      <c r="D180">
        <v>440</v>
      </c>
      <c r="E180">
        <v>26.65</v>
      </c>
      <c r="F180">
        <v>194</v>
      </c>
      <c r="G180">
        <v>18</v>
      </c>
      <c r="H180">
        <v>4.09</v>
      </c>
    </row>
    <row r="181" spans="1:8" x14ac:dyDescent="0.25">
      <c r="A181" s="1">
        <v>45837</v>
      </c>
      <c r="B181" t="s">
        <v>186</v>
      </c>
      <c r="C181" t="s">
        <v>252</v>
      </c>
      <c r="D181">
        <v>354</v>
      </c>
      <c r="E181">
        <v>30.87</v>
      </c>
      <c r="F181">
        <v>66</v>
      </c>
      <c r="G181">
        <v>30</v>
      </c>
      <c r="H181">
        <v>8.4700000000000006</v>
      </c>
    </row>
    <row r="182" spans="1:8" x14ac:dyDescent="0.25">
      <c r="A182" s="1">
        <v>45838</v>
      </c>
      <c r="B182" t="s">
        <v>187</v>
      </c>
      <c r="C182" t="s">
        <v>252</v>
      </c>
      <c r="D182">
        <v>437</v>
      </c>
      <c r="E182">
        <v>32.07</v>
      </c>
      <c r="F182">
        <v>112</v>
      </c>
      <c r="G182">
        <v>30</v>
      </c>
      <c r="H182">
        <v>6.86</v>
      </c>
    </row>
    <row r="183" spans="1:8" x14ac:dyDescent="0.25">
      <c r="A183" s="1">
        <v>45839</v>
      </c>
      <c r="B183" t="s">
        <v>188</v>
      </c>
      <c r="C183" t="s">
        <v>249</v>
      </c>
      <c r="D183">
        <v>269</v>
      </c>
      <c r="E183">
        <v>40.799999999999997</v>
      </c>
      <c r="F183">
        <v>234</v>
      </c>
      <c r="G183">
        <v>22</v>
      </c>
      <c r="H183">
        <v>8.18</v>
      </c>
    </row>
    <row r="184" spans="1:8" x14ac:dyDescent="0.25">
      <c r="A184" s="1">
        <v>45840</v>
      </c>
      <c r="B184" t="s">
        <v>189</v>
      </c>
      <c r="C184" t="s">
        <v>250</v>
      </c>
      <c r="D184">
        <v>336</v>
      </c>
      <c r="E184">
        <v>25.97</v>
      </c>
      <c r="F184">
        <v>340</v>
      </c>
      <c r="G184">
        <v>12</v>
      </c>
      <c r="H184">
        <v>3.57</v>
      </c>
    </row>
    <row r="185" spans="1:8" x14ac:dyDescent="0.25">
      <c r="A185" s="1">
        <v>45841</v>
      </c>
      <c r="B185" t="s">
        <v>190</v>
      </c>
      <c r="C185" t="s">
        <v>247</v>
      </c>
      <c r="D185">
        <v>352</v>
      </c>
      <c r="E185">
        <v>30.98</v>
      </c>
      <c r="F185">
        <v>108</v>
      </c>
      <c r="G185">
        <v>35</v>
      </c>
      <c r="H185">
        <v>9.94</v>
      </c>
    </row>
    <row r="186" spans="1:8" x14ac:dyDescent="0.25">
      <c r="A186" s="1">
        <v>45842</v>
      </c>
      <c r="B186" t="s">
        <v>191</v>
      </c>
      <c r="C186" t="s">
        <v>247</v>
      </c>
      <c r="D186">
        <v>105</v>
      </c>
      <c r="E186">
        <v>34.869999999999997</v>
      </c>
      <c r="F186">
        <v>182</v>
      </c>
      <c r="G186">
        <v>7</v>
      </c>
      <c r="H186">
        <v>6.67</v>
      </c>
    </row>
    <row r="187" spans="1:8" x14ac:dyDescent="0.25">
      <c r="A187" s="1">
        <v>45843</v>
      </c>
      <c r="B187" t="s">
        <v>192</v>
      </c>
      <c r="C187" t="s">
        <v>249</v>
      </c>
      <c r="D187">
        <v>549</v>
      </c>
      <c r="E187">
        <v>61.04</v>
      </c>
      <c r="F187">
        <v>203</v>
      </c>
      <c r="G187">
        <v>6</v>
      </c>
      <c r="H187">
        <v>1.0900000000000001</v>
      </c>
    </row>
    <row r="188" spans="1:8" x14ac:dyDescent="0.25">
      <c r="A188" s="1">
        <v>45844</v>
      </c>
      <c r="B188" t="s">
        <v>193</v>
      </c>
      <c r="C188" t="s">
        <v>249</v>
      </c>
      <c r="D188">
        <v>141</v>
      </c>
      <c r="E188">
        <v>47.84</v>
      </c>
      <c r="F188">
        <v>169</v>
      </c>
      <c r="G188">
        <v>10</v>
      </c>
      <c r="H188">
        <v>7.09</v>
      </c>
    </row>
    <row r="189" spans="1:8" x14ac:dyDescent="0.25">
      <c r="A189" s="1">
        <v>45845</v>
      </c>
      <c r="B189" t="s">
        <v>194</v>
      </c>
      <c r="C189" t="s">
        <v>247</v>
      </c>
      <c r="D189">
        <v>286</v>
      </c>
      <c r="E189">
        <v>48.15</v>
      </c>
      <c r="F189">
        <v>295</v>
      </c>
      <c r="G189">
        <v>11</v>
      </c>
      <c r="H189">
        <v>3.85</v>
      </c>
    </row>
    <row r="190" spans="1:8" x14ac:dyDescent="0.25">
      <c r="A190" s="1">
        <v>45846</v>
      </c>
      <c r="B190" t="s">
        <v>195</v>
      </c>
      <c r="C190" t="s">
        <v>251</v>
      </c>
      <c r="D190">
        <v>547</v>
      </c>
      <c r="E190">
        <v>30.81</v>
      </c>
      <c r="F190">
        <v>139</v>
      </c>
      <c r="G190">
        <v>14</v>
      </c>
      <c r="H190">
        <v>2.56</v>
      </c>
    </row>
    <row r="191" spans="1:8" x14ac:dyDescent="0.25">
      <c r="A191" s="1">
        <v>45847</v>
      </c>
      <c r="B191" t="s">
        <v>196</v>
      </c>
      <c r="C191" t="s">
        <v>248</v>
      </c>
      <c r="D191">
        <v>403</v>
      </c>
      <c r="E191">
        <v>43.72</v>
      </c>
      <c r="F191">
        <v>305</v>
      </c>
      <c r="G191">
        <v>2</v>
      </c>
      <c r="H191">
        <v>0.5</v>
      </c>
    </row>
    <row r="192" spans="1:8" x14ac:dyDescent="0.25">
      <c r="A192" s="1">
        <v>45848</v>
      </c>
      <c r="B192" t="s">
        <v>197</v>
      </c>
      <c r="C192" t="s">
        <v>247</v>
      </c>
      <c r="D192">
        <v>87</v>
      </c>
      <c r="E192">
        <v>27.61</v>
      </c>
      <c r="F192">
        <v>217</v>
      </c>
      <c r="G192">
        <v>36</v>
      </c>
      <c r="H192">
        <v>41.38</v>
      </c>
    </row>
    <row r="193" spans="1:8" x14ac:dyDescent="0.25">
      <c r="A193" s="1">
        <v>45849</v>
      </c>
      <c r="B193" t="s">
        <v>198</v>
      </c>
      <c r="C193" t="s">
        <v>249</v>
      </c>
      <c r="D193">
        <v>351</v>
      </c>
      <c r="E193">
        <v>30.38</v>
      </c>
      <c r="F193">
        <v>343</v>
      </c>
      <c r="G193">
        <v>6</v>
      </c>
      <c r="H193">
        <v>1.71</v>
      </c>
    </row>
    <row r="194" spans="1:8" x14ac:dyDescent="0.25">
      <c r="A194" s="1">
        <v>45850</v>
      </c>
      <c r="B194" t="s">
        <v>199</v>
      </c>
      <c r="C194" t="s">
        <v>247</v>
      </c>
      <c r="D194">
        <v>361</v>
      </c>
      <c r="E194">
        <v>53.32</v>
      </c>
      <c r="F194">
        <v>240</v>
      </c>
      <c r="G194">
        <v>5</v>
      </c>
      <c r="H194">
        <v>1.39</v>
      </c>
    </row>
    <row r="195" spans="1:8" x14ac:dyDescent="0.25">
      <c r="A195" s="1">
        <v>45851</v>
      </c>
      <c r="B195" t="s">
        <v>200</v>
      </c>
      <c r="C195" t="s">
        <v>252</v>
      </c>
      <c r="D195">
        <v>544</v>
      </c>
      <c r="E195">
        <v>30.8</v>
      </c>
      <c r="F195">
        <v>191</v>
      </c>
      <c r="G195">
        <v>12</v>
      </c>
      <c r="H195">
        <v>2.21</v>
      </c>
    </row>
    <row r="196" spans="1:8" x14ac:dyDescent="0.25">
      <c r="A196" s="1">
        <v>45852</v>
      </c>
      <c r="B196" t="s">
        <v>201</v>
      </c>
      <c r="C196" t="s">
        <v>249</v>
      </c>
      <c r="D196">
        <v>276</v>
      </c>
      <c r="E196">
        <v>32.75</v>
      </c>
      <c r="F196">
        <v>215</v>
      </c>
      <c r="G196">
        <v>19</v>
      </c>
      <c r="H196">
        <v>6.88</v>
      </c>
    </row>
    <row r="197" spans="1:8" x14ac:dyDescent="0.25">
      <c r="A197" s="1">
        <v>45853</v>
      </c>
      <c r="B197" t="s">
        <v>202</v>
      </c>
      <c r="C197" t="s">
        <v>252</v>
      </c>
      <c r="D197">
        <v>112</v>
      </c>
      <c r="E197">
        <v>69.06</v>
      </c>
      <c r="F197">
        <v>204</v>
      </c>
      <c r="G197">
        <v>10</v>
      </c>
      <c r="H197">
        <v>8.93</v>
      </c>
    </row>
    <row r="198" spans="1:8" x14ac:dyDescent="0.25">
      <c r="A198" s="1">
        <v>45854</v>
      </c>
      <c r="B198" t="s">
        <v>203</v>
      </c>
      <c r="C198" t="s">
        <v>251</v>
      </c>
      <c r="D198">
        <v>119</v>
      </c>
      <c r="E198">
        <v>62.39</v>
      </c>
      <c r="F198">
        <v>306</v>
      </c>
      <c r="G198">
        <v>5</v>
      </c>
      <c r="H198">
        <v>4.2</v>
      </c>
    </row>
    <row r="199" spans="1:8" x14ac:dyDescent="0.25">
      <c r="A199" s="1">
        <v>45855</v>
      </c>
      <c r="B199" t="s">
        <v>204</v>
      </c>
      <c r="C199" t="s">
        <v>249</v>
      </c>
      <c r="D199">
        <v>456</v>
      </c>
      <c r="E199">
        <v>48.02</v>
      </c>
      <c r="F199">
        <v>247</v>
      </c>
      <c r="G199">
        <v>28</v>
      </c>
      <c r="H199">
        <v>6.14</v>
      </c>
    </row>
    <row r="200" spans="1:8" x14ac:dyDescent="0.25">
      <c r="A200" s="1">
        <v>45856</v>
      </c>
      <c r="B200" t="s">
        <v>205</v>
      </c>
      <c r="C200" t="s">
        <v>250</v>
      </c>
      <c r="D200">
        <v>82</v>
      </c>
      <c r="E200">
        <v>48.09</v>
      </c>
      <c r="F200">
        <v>140</v>
      </c>
      <c r="G200">
        <v>26</v>
      </c>
      <c r="H200">
        <v>31.71</v>
      </c>
    </row>
    <row r="201" spans="1:8" x14ac:dyDescent="0.25">
      <c r="A201" s="1">
        <v>45857</v>
      </c>
      <c r="B201" t="s">
        <v>206</v>
      </c>
      <c r="C201" t="s">
        <v>252</v>
      </c>
      <c r="D201">
        <v>230</v>
      </c>
      <c r="E201">
        <v>51.05</v>
      </c>
      <c r="F201">
        <v>300</v>
      </c>
      <c r="G201">
        <v>3</v>
      </c>
      <c r="H201">
        <v>1.3</v>
      </c>
    </row>
    <row r="202" spans="1:8" x14ac:dyDescent="0.25">
      <c r="A202" s="1">
        <v>45858</v>
      </c>
      <c r="B202" t="s">
        <v>207</v>
      </c>
      <c r="C202" t="s">
        <v>248</v>
      </c>
      <c r="D202">
        <v>421</v>
      </c>
      <c r="E202">
        <v>29.05</v>
      </c>
      <c r="F202">
        <v>137</v>
      </c>
      <c r="G202">
        <v>40</v>
      </c>
      <c r="H202">
        <v>9.5</v>
      </c>
    </row>
    <row r="203" spans="1:8" x14ac:dyDescent="0.25">
      <c r="A203" s="1">
        <v>45859</v>
      </c>
      <c r="B203" t="s">
        <v>208</v>
      </c>
      <c r="C203" t="s">
        <v>247</v>
      </c>
      <c r="D203">
        <v>79</v>
      </c>
      <c r="E203">
        <v>54.51</v>
      </c>
      <c r="F203">
        <v>310</v>
      </c>
      <c r="G203">
        <v>42</v>
      </c>
      <c r="H203">
        <v>53.16</v>
      </c>
    </row>
    <row r="204" spans="1:8" x14ac:dyDescent="0.25">
      <c r="A204" s="1">
        <v>45860</v>
      </c>
      <c r="B204" t="s">
        <v>209</v>
      </c>
      <c r="C204" t="s">
        <v>250</v>
      </c>
      <c r="D204">
        <v>126</v>
      </c>
      <c r="E204">
        <v>59.94</v>
      </c>
      <c r="F204">
        <v>78</v>
      </c>
      <c r="G204">
        <v>17</v>
      </c>
      <c r="H204">
        <v>13.49</v>
      </c>
    </row>
    <row r="205" spans="1:8" x14ac:dyDescent="0.25">
      <c r="A205" s="1">
        <v>45861</v>
      </c>
      <c r="B205" t="s">
        <v>210</v>
      </c>
      <c r="C205" t="s">
        <v>251</v>
      </c>
      <c r="D205">
        <v>406</v>
      </c>
      <c r="E205">
        <v>29.53</v>
      </c>
      <c r="F205">
        <v>325</v>
      </c>
      <c r="G205">
        <v>2</v>
      </c>
      <c r="H205">
        <v>0.49</v>
      </c>
    </row>
    <row r="206" spans="1:8" x14ac:dyDescent="0.25">
      <c r="A206" s="1">
        <v>45862</v>
      </c>
      <c r="B206" t="s">
        <v>211</v>
      </c>
      <c r="C206" t="s">
        <v>252</v>
      </c>
      <c r="D206">
        <v>50</v>
      </c>
      <c r="E206">
        <v>26.54</v>
      </c>
      <c r="F206">
        <v>186</v>
      </c>
      <c r="G206">
        <v>35</v>
      </c>
      <c r="H206">
        <v>70</v>
      </c>
    </row>
    <row r="207" spans="1:8" x14ac:dyDescent="0.25">
      <c r="A207" s="1">
        <v>45863</v>
      </c>
      <c r="B207" t="s">
        <v>212</v>
      </c>
      <c r="C207" t="s">
        <v>249</v>
      </c>
      <c r="D207">
        <v>279</v>
      </c>
      <c r="E207">
        <v>56.51</v>
      </c>
      <c r="F207">
        <v>325</v>
      </c>
      <c r="G207">
        <v>31</v>
      </c>
      <c r="H207">
        <v>11.11</v>
      </c>
    </row>
    <row r="208" spans="1:8" x14ac:dyDescent="0.25">
      <c r="A208" s="1">
        <v>45864</v>
      </c>
      <c r="B208" t="s">
        <v>213</v>
      </c>
      <c r="C208" t="s">
        <v>250</v>
      </c>
      <c r="D208">
        <v>52</v>
      </c>
      <c r="E208">
        <v>62.32</v>
      </c>
      <c r="F208">
        <v>190</v>
      </c>
      <c r="G208">
        <v>6</v>
      </c>
      <c r="H208">
        <v>11.54</v>
      </c>
    </row>
    <row r="209" spans="1:8" x14ac:dyDescent="0.25">
      <c r="A209" s="1">
        <v>45865</v>
      </c>
      <c r="B209" t="s">
        <v>214</v>
      </c>
      <c r="C209" t="s">
        <v>250</v>
      </c>
      <c r="D209">
        <v>391</v>
      </c>
      <c r="E209">
        <v>69.47</v>
      </c>
      <c r="F209">
        <v>128</v>
      </c>
      <c r="G209">
        <v>39</v>
      </c>
      <c r="H209">
        <v>9.9700000000000006</v>
      </c>
    </row>
    <row r="210" spans="1:8" x14ac:dyDescent="0.25">
      <c r="A210" s="1">
        <v>45866</v>
      </c>
      <c r="B210" t="s">
        <v>215</v>
      </c>
      <c r="C210" t="s">
        <v>250</v>
      </c>
      <c r="D210">
        <v>379</v>
      </c>
      <c r="E210">
        <v>63.24</v>
      </c>
      <c r="F210">
        <v>318</v>
      </c>
      <c r="G210">
        <v>27</v>
      </c>
      <c r="H210">
        <v>7.12</v>
      </c>
    </row>
    <row r="211" spans="1:8" x14ac:dyDescent="0.25">
      <c r="A211" s="1">
        <v>45867</v>
      </c>
      <c r="B211" t="s">
        <v>216</v>
      </c>
      <c r="C211" t="s">
        <v>247</v>
      </c>
      <c r="D211">
        <v>169</v>
      </c>
      <c r="E211">
        <v>34.590000000000003</v>
      </c>
      <c r="F211">
        <v>254</v>
      </c>
      <c r="G211">
        <v>12</v>
      </c>
      <c r="H211">
        <v>7.1</v>
      </c>
    </row>
    <row r="212" spans="1:8" x14ac:dyDescent="0.25">
      <c r="A212" s="1">
        <v>45868</v>
      </c>
      <c r="B212" t="s">
        <v>217</v>
      </c>
      <c r="C212" t="s">
        <v>251</v>
      </c>
      <c r="D212">
        <v>487</v>
      </c>
      <c r="E212">
        <v>48.53</v>
      </c>
      <c r="F212">
        <v>212</v>
      </c>
      <c r="G212">
        <v>4</v>
      </c>
      <c r="H212">
        <v>0.82</v>
      </c>
    </row>
    <row r="213" spans="1:8" x14ac:dyDescent="0.25">
      <c r="A213" s="1">
        <v>45869</v>
      </c>
      <c r="B213" t="s">
        <v>218</v>
      </c>
      <c r="C213" t="s">
        <v>251</v>
      </c>
      <c r="D213">
        <v>102</v>
      </c>
      <c r="E213">
        <v>57.91</v>
      </c>
      <c r="F213">
        <v>313</v>
      </c>
      <c r="G213">
        <v>34</v>
      </c>
      <c r="H213">
        <v>33.33</v>
      </c>
    </row>
    <row r="214" spans="1:8" x14ac:dyDescent="0.25">
      <c r="A214" s="1">
        <v>45870</v>
      </c>
      <c r="B214" t="s">
        <v>219</v>
      </c>
      <c r="C214" t="s">
        <v>249</v>
      </c>
      <c r="D214">
        <v>186</v>
      </c>
      <c r="E214">
        <v>61.46</v>
      </c>
      <c r="F214">
        <v>314</v>
      </c>
      <c r="G214">
        <v>25</v>
      </c>
      <c r="H214">
        <v>13.44</v>
      </c>
    </row>
    <row r="215" spans="1:8" x14ac:dyDescent="0.25">
      <c r="A215" s="1">
        <v>45871</v>
      </c>
      <c r="B215" t="s">
        <v>220</v>
      </c>
      <c r="C215" t="s">
        <v>252</v>
      </c>
      <c r="D215">
        <v>345</v>
      </c>
      <c r="E215">
        <v>46.24</v>
      </c>
      <c r="F215">
        <v>276</v>
      </c>
      <c r="G215">
        <v>15</v>
      </c>
      <c r="H215">
        <v>4.3499999999999996</v>
      </c>
    </row>
    <row r="216" spans="1:8" x14ac:dyDescent="0.25">
      <c r="A216" s="1">
        <v>45872</v>
      </c>
      <c r="B216" t="s">
        <v>221</v>
      </c>
      <c r="C216" t="s">
        <v>247</v>
      </c>
      <c r="D216">
        <v>373</v>
      </c>
      <c r="E216">
        <v>28.84</v>
      </c>
      <c r="F216">
        <v>234</v>
      </c>
      <c r="G216">
        <v>18</v>
      </c>
      <c r="H216">
        <v>4.83</v>
      </c>
    </row>
    <row r="217" spans="1:8" x14ac:dyDescent="0.25">
      <c r="A217" s="1">
        <v>45873</v>
      </c>
      <c r="B217" t="s">
        <v>222</v>
      </c>
      <c r="C217" t="s">
        <v>251</v>
      </c>
      <c r="D217">
        <v>545</v>
      </c>
      <c r="E217">
        <v>57.4</v>
      </c>
      <c r="F217">
        <v>240</v>
      </c>
      <c r="G217">
        <v>33</v>
      </c>
      <c r="H217">
        <v>6.06</v>
      </c>
    </row>
    <row r="218" spans="1:8" x14ac:dyDescent="0.25">
      <c r="A218" s="1">
        <v>45874</v>
      </c>
      <c r="B218" t="s">
        <v>223</v>
      </c>
      <c r="C218" t="s">
        <v>248</v>
      </c>
      <c r="D218">
        <v>383</v>
      </c>
      <c r="E218">
        <v>35.479999999999997</v>
      </c>
      <c r="F218">
        <v>182</v>
      </c>
      <c r="G218">
        <v>2</v>
      </c>
      <c r="H218">
        <v>0.52</v>
      </c>
    </row>
    <row r="219" spans="1:8" x14ac:dyDescent="0.25">
      <c r="A219" s="1">
        <v>45875</v>
      </c>
      <c r="B219" t="s">
        <v>224</v>
      </c>
      <c r="C219" t="s">
        <v>252</v>
      </c>
      <c r="D219">
        <v>66</v>
      </c>
      <c r="E219">
        <v>63.4</v>
      </c>
      <c r="F219">
        <v>262</v>
      </c>
      <c r="G219">
        <v>37</v>
      </c>
      <c r="H219">
        <v>56.06</v>
      </c>
    </row>
    <row r="220" spans="1:8" x14ac:dyDescent="0.25">
      <c r="A220" s="1">
        <v>45876</v>
      </c>
      <c r="B220" t="s">
        <v>225</v>
      </c>
      <c r="C220" t="s">
        <v>248</v>
      </c>
      <c r="D220">
        <v>52</v>
      </c>
      <c r="E220">
        <v>50.85</v>
      </c>
      <c r="F220">
        <v>259</v>
      </c>
      <c r="G220">
        <v>25</v>
      </c>
      <c r="H220">
        <v>48.08</v>
      </c>
    </row>
    <row r="221" spans="1:8" x14ac:dyDescent="0.25">
      <c r="A221" s="1">
        <v>45877</v>
      </c>
      <c r="B221" t="s">
        <v>226</v>
      </c>
      <c r="C221" t="s">
        <v>247</v>
      </c>
      <c r="D221">
        <v>409</v>
      </c>
      <c r="E221">
        <v>30.94</v>
      </c>
      <c r="F221">
        <v>79</v>
      </c>
      <c r="G221">
        <v>26</v>
      </c>
      <c r="H221">
        <v>6.36</v>
      </c>
    </row>
    <row r="222" spans="1:8" x14ac:dyDescent="0.25">
      <c r="A222" s="1">
        <v>45878</v>
      </c>
      <c r="B222" t="s">
        <v>227</v>
      </c>
      <c r="C222" t="s">
        <v>249</v>
      </c>
      <c r="D222">
        <v>79</v>
      </c>
      <c r="E222">
        <v>59.98</v>
      </c>
      <c r="F222">
        <v>186</v>
      </c>
      <c r="G222">
        <v>21</v>
      </c>
      <c r="H222">
        <v>26.58</v>
      </c>
    </row>
    <row r="223" spans="1:8" x14ac:dyDescent="0.25">
      <c r="A223" s="1">
        <v>45879</v>
      </c>
      <c r="B223" t="s">
        <v>228</v>
      </c>
      <c r="C223" t="s">
        <v>247</v>
      </c>
      <c r="D223">
        <v>279</v>
      </c>
      <c r="E223">
        <v>37.840000000000003</v>
      </c>
      <c r="F223">
        <v>190</v>
      </c>
      <c r="G223">
        <v>22</v>
      </c>
      <c r="H223">
        <v>7.89</v>
      </c>
    </row>
    <row r="224" spans="1:8" x14ac:dyDescent="0.25">
      <c r="A224" s="1">
        <v>45880</v>
      </c>
      <c r="B224" t="s">
        <v>229</v>
      </c>
      <c r="C224" t="s">
        <v>252</v>
      </c>
      <c r="D224">
        <v>383</v>
      </c>
      <c r="E224">
        <v>53.74</v>
      </c>
      <c r="F224">
        <v>261</v>
      </c>
      <c r="G224">
        <v>22</v>
      </c>
      <c r="H224">
        <v>5.74</v>
      </c>
    </row>
    <row r="225" spans="1:8" x14ac:dyDescent="0.25">
      <c r="A225" s="1">
        <v>45881</v>
      </c>
      <c r="B225" t="s">
        <v>230</v>
      </c>
      <c r="C225" t="s">
        <v>247</v>
      </c>
      <c r="D225">
        <v>241</v>
      </c>
      <c r="E225">
        <v>26.12</v>
      </c>
      <c r="F225">
        <v>353</v>
      </c>
      <c r="G225">
        <v>15</v>
      </c>
      <c r="H225">
        <v>6.22</v>
      </c>
    </row>
    <row r="226" spans="1:8" x14ac:dyDescent="0.25">
      <c r="A226" s="1">
        <v>45882</v>
      </c>
      <c r="B226" t="s">
        <v>231</v>
      </c>
      <c r="C226" t="s">
        <v>248</v>
      </c>
      <c r="D226">
        <v>242</v>
      </c>
      <c r="E226">
        <v>40.28</v>
      </c>
      <c r="F226">
        <v>359</v>
      </c>
      <c r="G226">
        <v>27</v>
      </c>
      <c r="H226">
        <v>11.16</v>
      </c>
    </row>
    <row r="227" spans="1:8" x14ac:dyDescent="0.25">
      <c r="A227" s="1">
        <v>45883</v>
      </c>
      <c r="B227" t="s">
        <v>232</v>
      </c>
      <c r="C227" t="s">
        <v>252</v>
      </c>
      <c r="D227">
        <v>157</v>
      </c>
      <c r="E227">
        <v>67.92</v>
      </c>
      <c r="F227">
        <v>273</v>
      </c>
      <c r="G227">
        <v>14</v>
      </c>
      <c r="H227">
        <v>8.92</v>
      </c>
    </row>
    <row r="228" spans="1:8" x14ac:dyDescent="0.25">
      <c r="A228" s="1">
        <v>45884</v>
      </c>
      <c r="B228" t="s">
        <v>233</v>
      </c>
      <c r="C228" t="s">
        <v>249</v>
      </c>
      <c r="D228">
        <v>289</v>
      </c>
      <c r="E228">
        <v>66.650000000000006</v>
      </c>
      <c r="F228">
        <v>241</v>
      </c>
      <c r="G228">
        <v>29</v>
      </c>
      <c r="H228">
        <v>10.029999999999999</v>
      </c>
    </row>
    <row r="229" spans="1:8" x14ac:dyDescent="0.25">
      <c r="A229" s="1">
        <v>45885</v>
      </c>
      <c r="B229" t="s">
        <v>234</v>
      </c>
      <c r="C229" t="s">
        <v>247</v>
      </c>
      <c r="D229">
        <v>268</v>
      </c>
      <c r="E229">
        <v>36.92</v>
      </c>
      <c r="F229">
        <v>235</v>
      </c>
      <c r="G229">
        <v>1</v>
      </c>
      <c r="H229">
        <v>0.37</v>
      </c>
    </row>
    <row r="230" spans="1:8" x14ac:dyDescent="0.25">
      <c r="A230" s="1">
        <v>45886</v>
      </c>
      <c r="B230" t="s">
        <v>235</v>
      </c>
      <c r="C230" t="s">
        <v>250</v>
      </c>
      <c r="D230">
        <v>199</v>
      </c>
      <c r="E230">
        <v>39.57</v>
      </c>
      <c r="F230">
        <v>196</v>
      </c>
      <c r="G230">
        <v>12</v>
      </c>
      <c r="H230">
        <v>6.03</v>
      </c>
    </row>
    <row r="231" spans="1:8" x14ac:dyDescent="0.25">
      <c r="A231" s="1">
        <v>45887</v>
      </c>
      <c r="B231" t="s">
        <v>236</v>
      </c>
      <c r="C231" t="s">
        <v>248</v>
      </c>
      <c r="D231">
        <v>288</v>
      </c>
      <c r="E231">
        <v>31.46</v>
      </c>
      <c r="F231">
        <v>219</v>
      </c>
      <c r="G231">
        <v>2</v>
      </c>
      <c r="H231">
        <v>0.69</v>
      </c>
    </row>
    <row r="232" spans="1:8" x14ac:dyDescent="0.25">
      <c r="A232" s="1">
        <v>45888</v>
      </c>
      <c r="B232" t="s">
        <v>237</v>
      </c>
      <c r="C232" t="s">
        <v>252</v>
      </c>
      <c r="D232">
        <v>478</v>
      </c>
      <c r="E232">
        <v>26.6</v>
      </c>
      <c r="F232">
        <v>343</v>
      </c>
      <c r="G232">
        <v>38</v>
      </c>
      <c r="H232">
        <v>7.95</v>
      </c>
    </row>
    <row r="233" spans="1:8" x14ac:dyDescent="0.25">
      <c r="A233" s="1">
        <v>45889</v>
      </c>
      <c r="B233" t="s">
        <v>238</v>
      </c>
      <c r="C233" t="s">
        <v>247</v>
      </c>
      <c r="D233">
        <v>426</v>
      </c>
      <c r="E233">
        <v>55.13</v>
      </c>
      <c r="F233">
        <v>145</v>
      </c>
      <c r="G233">
        <v>9</v>
      </c>
      <c r="H233">
        <v>2.11</v>
      </c>
    </row>
    <row r="234" spans="1:8" x14ac:dyDescent="0.25">
      <c r="A234" s="1">
        <v>45890</v>
      </c>
      <c r="B234" t="s">
        <v>239</v>
      </c>
      <c r="C234" t="s">
        <v>248</v>
      </c>
      <c r="D234">
        <v>508</v>
      </c>
      <c r="E234">
        <v>32.14</v>
      </c>
      <c r="F234">
        <v>276</v>
      </c>
      <c r="G234">
        <v>42</v>
      </c>
      <c r="H234">
        <v>8.27</v>
      </c>
    </row>
    <row r="235" spans="1:8" x14ac:dyDescent="0.25">
      <c r="A235" s="1">
        <v>45891</v>
      </c>
      <c r="B235" t="s">
        <v>240</v>
      </c>
      <c r="C235" t="s">
        <v>247</v>
      </c>
      <c r="D235">
        <v>461</v>
      </c>
      <c r="E235">
        <v>53.52</v>
      </c>
      <c r="F235">
        <v>127</v>
      </c>
      <c r="G235">
        <v>36</v>
      </c>
      <c r="H235">
        <v>7.81</v>
      </c>
    </row>
    <row r="236" spans="1:8" x14ac:dyDescent="0.25">
      <c r="A236" s="1">
        <v>45892</v>
      </c>
      <c r="B236" t="s">
        <v>241</v>
      </c>
      <c r="C236" t="s">
        <v>248</v>
      </c>
      <c r="D236">
        <v>498</v>
      </c>
      <c r="E236">
        <v>29.85</v>
      </c>
      <c r="F236">
        <v>114</v>
      </c>
      <c r="G236">
        <v>26</v>
      </c>
      <c r="H236">
        <v>5.22</v>
      </c>
    </row>
    <row r="237" spans="1:8" x14ac:dyDescent="0.25">
      <c r="A237" s="1">
        <v>45893</v>
      </c>
      <c r="B237" t="s">
        <v>242</v>
      </c>
      <c r="C237" t="s">
        <v>252</v>
      </c>
      <c r="D237">
        <v>135</v>
      </c>
      <c r="E237">
        <v>42.39</v>
      </c>
      <c r="F237">
        <v>82</v>
      </c>
      <c r="G237">
        <v>11</v>
      </c>
      <c r="H237">
        <v>8.15</v>
      </c>
    </row>
    <row r="238" spans="1:8" x14ac:dyDescent="0.25">
      <c r="A238" s="1">
        <v>45894</v>
      </c>
      <c r="B238" t="s">
        <v>243</v>
      </c>
      <c r="C238" t="s">
        <v>249</v>
      </c>
      <c r="D238">
        <v>55</v>
      </c>
      <c r="E238">
        <v>55.05</v>
      </c>
      <c r="F238">
        <v>357</v>
      </c>
      <c r="G238">
        <v>25</v>
      </c>
      <c r="H238">
        <v>45.45</v>
      </c>
    </row>
    <row r="239" spans="1:8" x14ac:dyDescent="0.25">
      <c r="A239" s="1">
        <v>45895</v>
      </c>
      <c r="B239" t="s">
        <v>244</v>
      </c>
      <c r="C239" t="s">
        <v>252</v>
      </c>
      <c r="D239">
        <v>323</v>
      </c>
      <c r="E239">
        <v>68.55</v>
      </c>
      <c r="F239">
        <v>223</v>
      </c>
      <c r="G239">
        <v>33</v>
      </c>
      <c r="H239">
        <v>10.220000000000001</v>
      </c>
    </row>
    <row r="240" spans="1:8" x14ac:dyDescent="0.25">
      <c r="A240" s="1">
        <v>45896</v>
      </c>
      <c r="B240" t="s">
        <v>245</v>
      </c>
      <c r="C240" t="s">
        <v>252</v>
      </c>
      <c r="D240">
        <v>537</v>
      </c>
      <c r="E240">
        <v>66.61</v>
      </c>
      <c r="F240">
        <v>324</v>
      </c>
      <c r="G240">
        <v>6</v>
      </c>
      <c r="H240">
        <v>1.1200000000000001</v>
      </c>
    </row>
    <row r="241" spans="1:8" x14ac:dyDescent="0.25">
      <c r="A241" s="1">
        <v>45897</v>
      </c>
      <c r="B241" t="s">
        <v>246</v>
      </c>
      <c r="C241" t="s">
        <v>249</v>
      </c>
      <c r="D241">
        <v>102</v>
      </c>
      <c r="E241">
        <v>38.28</v>
      </c>
      <c r="F241">
        <v>82</v>
      </c>
      <c r="G241">
        <v>11</v>
      </c>
      <c r="H241">
        <v>10.78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27402-657F-495B-9B4A-BAF4458F4BC0}">
  <dimension ref="A1:K30"/>
  <sheetViews>
    <sheetView tabSelected="1" topLeftCell="G16" zoomScale="70" zoomScaleNormal="70" workbookViewId="0">
      <selection activeCell="E24" sqref="E24"/>
    </sheetView>
  </sheetViews>
  <sheetFormatPr defaultRowHeight="15" x14ac:dyDescent="0.25"/>
  <cols>
    <col min="1" max="1" width="30" customWidth="1"/>
    <col min="2" max="2" width="37.28515625" customWidth="1"/>
    <col min="4" max="4" width="27.85546875" customWidth="1"/>
    <col min="5" max="5" width="39.85546875" customWidth="1"/>
    <col min="7" max="7" width="38" customWidth="1"/>
    <col min="8" max="8" width="48.42578125" customWidth="1"/>
    <col min="9" max="9" width="5.7109375" customWidth="1"/>
    <col min="10" max="10" width="31.85546875" customWidth="1"/>
    <col min="11" max="11" width="40.7109375" customWidth="1"/>
  </cols>
  <sheetData>
    <row r="1" spans="1:11" ht="23.25" x14ac:dyDescent="0.35">
      <c r="A1" s="17" t="s">
        <v>276</v>
      </c>
      <c r="B1" s="14"/>
      <c r="C1" s="14"/>
      <c r="D1" s="14"/>
      <c r="E1" s="14"/>
      <c r="F1" s="14"/>
      <c r="G1" s="14"/>
      <c r="H1" s="14"/>
    </row>
    <row r="2" spans="1:11" ht="18.75" x14ac:dyDescent="0.3">
      <c r="A2" s="18" t="s">
        <v>274</v>
      </c>
      <c r="B2" s="14"/>
      <c r="C2" s="14"/>
      <c r="D2" s="14"/>
      <c r="E2" s="14"/>
      <c r="F2" s="14"/>
      <c r="G2" s="14"/>
      <c r="H2" s="14"/>
    </row>
    <row r="3" spans="1:11" ht="18.75" x14ac:dyDescent="0.3">
      <c r="A3" s="18" t="s">
        <v>275</v>
      </c>
      <c r="B3" s="14"/>
      <c r="C3" s="14"/>
      <c r="D3" s="14"/>
      <c r="E3" s="14"/>
      <c r="F3" s="14"/>
      <c r="G3" s="14"/>
      <c r="H3" s="14"/>
    </row>
    <row r="6" spans="1:11" ht="15.75" x14ac:dyDescent="0.25">
      <c r="A6" s="15" t="s">
        <v>260</v>
      </c>
      <c r="B6" s="15"/>
      <c r="D6" s="15" t="s">
        <v>261</v>
      </c>
      <c r="E6" s="15"/>
      <c r="G6" s="15" t="s">
        <v>263</v>
      </c>
      <c r="H6" s="15"/>
      <c r="J6" s="15" t="s">
        <v>269</v>
      </c>
      <c r="K6" s="14"/>
    </row>
    <row r="8" spans="1:11" x14ac:dyDescent="0.25">
      <c r="A8" s="8" t="s">
        <v>2</v>
      </c>
      <c r="B8" t="s">
        <v>268</v>
      </c>
      <c r="D8" s="8" t="s">
        <v>2</v>
      </c>
      <c r="E8" t="s">
        <v>258</v>
      </c>
      <c r="G8" s="8" t="s">
        <v>2</v>
      </c>
      <c r="H8" t="s">
        <v>262</v>
      </c>
      <c r="J8" s="8" t="s">
        <v>2</v>
      </c>
      <c r="K8" t="s">
        <v>267</v>
      </c>
    </row>
    <row r="9" spans="1:11" x14ac:dyDescent="0.25">
      <c r="A9" s="9" t="s">
        <v>248</v>
      </c>
      <c r="B9" s="10">
        <v>11309</v>
      </c>
      <c r="D9" s="9" t="s">
        <v>248</v>
      </c>
      <c r="E9" s="11">
        <v>0.41550270270270273</v>
      </c>
      <c r="G9" s="9" t="s">
        <v>248</v>
      </c>
      <c r="H9" s="4">
        <v>3.5319819819819829</v>
      </c>
      <c r="J9" s="9" t="s">
        <v>248</v>
      </c>
      <c r="K9" s="4">
        <v>786</v>
      </c>
    </row>
    <row r="10" spans="1:11" x14ac:dyDescent="0.25">
      <c r="A10" s="9" t="s">
        <v>250</v>
      </c>
      <c r="B10" s="10">
        <v>7522</v>
      </c>
      <c r="D10" s="9" t="s">
        <v>250</v>
      </c>
      <c r="E10" s="11">
        <v>0.46653461538461544</v>
      </c>
      <c r="G10" s="9" t="s">
        <v>250</v>
      </c>
      <c r="H10" s="4">
        <v>3.4967948717948718</v>
      </c>
      <c r="J10" s="9" t="s">
        <v>250</v>
      </c>
      <c r="K10" s="4">
        <v>534</v>
      </c>
    </row>
    <row r="11" spans="1:11" x14ac:dyDescent="0.25">
      <c r="A11" s="9" t="s">
        <v>247</v>
      </c>
      <c r="B11" s="10">
        <v>19086</v>
      </c>
      <c r="D11" s="9" t="s">
        <v>247</v>
      </c>
      <c r="E11" s="11">
        <v>0.47971694915254237</v>
      </c>
      <c r="G11" s="9" t="s">
        <v>247</v>
      </c>
      <c r="H11" s="4">
        <v>3.5299435028248576</v>
      </c>
      <c r="J11" s="9" t="s">
        <v>247</v>
      </c>
      <c r="K11" s="4">
        <v>1291</v>
      </c>
    </row>
    <row r="12" spans="1:11" x14ac:dyDescent="0.25">
      <c r="A12" s="9" t="s">
        <v>249</v>
      </c>
      <c r="B12" s="10">
        <v>14385</v>
      </c>
      <c r="D12" s="9" t="s">
        <v>249</v>
      </c>
      <c r="E12" s="11">
        <v>0.48348936170212758</v>
      </c>
      <c r="G12" s="9" t="s">
        <v>249</v>
      </c>
      <c r="H12" s="4">
        <v>3.2177304964539011</v>
      </c>
      <c r="J12" s="9" t="s">
        <v>249</v>
      </c>
      <c r="K12" s="4">
        <v>1051</v>
      </c>
    </row>
    <row r="13" spans="1:11" x14ac:dyDescent="0.25">
      <c r="A13" s="9" t="s">
        <v>251</v>
      </c>
      <c r="B13" s="10">
        <v>7386</v>
      </c>
      <c r="D13" s="9" t="s">
        <v>251</v>
      </c>
      <c r="E13" s="11">
        <v>0.46771304347826098</v>
      </c>
      <c r="G13" s="9" t="s">
        <v>251</v>
      </c>
      <c r="H13" s="4">
        <v>3.8760869565217386</v>
      </c>
      <c r="J13" s="9" t="s">
        <v>251</v>
      </c>
      <c r="K13" s="4">
        <v>533</v>
      </c>
    </row>
    <row r="14" spans="1:11" x14ac:dyDescent="0.25">
      <c r="A14" s="9" t="s">
        <v>252</v>
      </c>
      <c r="B14" s="10">
        <v>14011</v>
      </c>
      <c r="D14" s="9" t="s">
        <v>252</v>
      </c>
      <c r="E14" s="11">
        <v>0.49970833333333342</v>
      </c>
      <c r="G14" s="9" t="s">
        <v>252</v>
      </c>
      <c r="H14" s="4">
        <v>3.3586805555555563</v>
      </c>
      <c r="J14" s="9" t="s">
        <v>252</v>
      </c>
      <c r="K14" s="4">
        <v>1078</v>
      </c>
    </row>
    <row r="15" spans="1:11" ht="17.25" customHeight="1" x14ac:dyDescent="0.25"/>
    <row r="16" spans="1:11" ht="31.5" customHeight="1" x14ac:dyDescent="0.25">
      <c r="A16" s="13" t="s">
        <v>266</v>
      </c>
      <c r="B16" s="13"/>
      <c r="D16" s="13" t="s">
        <v>266</v>
      </c>
      <c r="E16" s="13"/>
      <c r="G16" s="13" t="s">
        <v>266</v>
      </c>
      <c r="H16" s="13"/>
      <c r="J16" s="13" t="s">
        <v>266</v>
      </c>
      <c r="K16" s="13"/>
    </row>
    <row r="17" spans="1:11" ht="89.25" customHeight="1" x14ac:dyDescent="0.25">
      <c r="A17" s="12" t="s">
        <v>264</v>
      </c>
      <c r="B17" s="12"/>
      <c r="D17" s="12" t="s">
        <v>265</v>
      </c>
      <c r="E17" s="12"/>
      <c r="G17" s="12" t="s">
        <v>270</v>
      </c>
      <c r="H17" s="12"/>
      <c r="J17" s="12" t="s">
        <v>271</v>
      </c>
      <c r="K17" s="12"/>
    </row>
    <row r="18" spans="1:11" x14ac:dyDescent="0.25">
      <c r="H18" t="s">
        <v>259</v>
      </c>
    </row>
    <row r="20" spans="1:11" ht="21" x14ac:dyDescent="0.35">
      <c r="A20" s="16" t="s">
        <v>272</v>
      </c>
      <c r="B20" s="16"/>
      <c r="C20" s="16"/>
      <c r="D20" s="16"/>
    </row>
    <row r="21" spans="1:11" ht="105.75" customHeight="1" x14ac:dyDescent="0.25">
      <c r="A21" s="12" t="s">
        <v>273</v>
      </c>
      <c r="B21" s="12"/>
      <c r="C21" s="12"/>
      <c r="D21" s="12"/>
    </row>
    <row r="23" spans="1:11" ht="21" x14ac:dyDescent="0.35">
      <c r="A23" s="16" t="s">
        <v>277</v>
      </c>
      <c r="B23" s="14"/>
      <c r="C23" s="14"/>
      <c r="D23" s="14"/>
    </row>
    <row r="24" spans="1:11" ht="140.25" customHeight="1" x14ac:dyDescent="0.25">
      <c r="A24" s="19" t="s">
        <v>278</v>
      </c>
      <c r="B24" s="20"/>
      <c r="C24" s="20"/>
      <c r="D24" s="20"/>
    </row>
    <row r="29" spans="1:11" ht="25.5" customHeight="1" x14ac:dyDescent="0.25"/>
    <row r="30" spans="1:11" ht="76.5" customHeight="1" x14ac:dyDescent="0.25"/>
  </sheetData>
  <mergeCells count="19">
    <mergeCell ref="A23:D23"/>
    <mergeCell ref="A24:D24"/>
    <mergeCell ref="A20:D20"/>
    <mergeCell ref="A21:D21"/>
    <mergeCell ref="A1:H1"/>
    <mergeCell ref="A2:H2"/>
    <mergeCell ref="A3:H3"/>
    <mergeCell ref="A6:B6"/>
    <mergeCell ref="D6:E6"/>
    <mergeCell ref="G6:H6"/>
    <mergeCell ref="J6:K6"/>
    <mergeCell ref="J17:K17"/>
    <mergeCell ref="J16:K16"/>
    <mergeCell ref="D17:E17"/>
    <mergeCell ref="A17:B17"/>
    <mergeCell ref="A16:B16"/>
    <mergeCell ref="D16:E16"/>
    <mergeCell ref="G16:H16"/>
    <mergeCell ref="G17:H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5282-8D68-4050-BE67-7FB21B0AF644}">
  <dimension ref="A1:K241"/>
  <sheetViews>
    <sheetView zoomScale="78" zoomScaleNormal="78" workbookViewId="0">
      <selection activeCell="D4" sqref="A2:K241"/>
    </sheetView>
  </sheetViews>
  <sheetFormatPr defaultRowHeight="15" x14ac:dyDescent="0.25"/>
  <cols>
    <col min="1" max="1" width="17" customWidth="1"/>
    <col min="2" max="2" width="19.42578125" customWidth="1"/>
    <col min="3" max="3" width="20.42578125" customWidth="1"/>
    <col min="4" max="4" width="18.7109375" customWidth="1"/>
    <col min="5" max="5" width="18" customWidth="1"/>
    <col min="6" max="6" width="27.28515625" customWidth="1"/>
    <col min="7" max="7" width="17.28515625" customWidth="1"/>
    <col min="8" max="8" width="15" customWidth="1"/>
    <col min="9" max="9" width="20.42578125" customWidth="1"/>
    <col min="10" max="10" width="20.5703125" customWidth="1"/>
    <col min="11" max="11" width="25.85546875" customWidth="1"/>
  </cols>
  <sheetData>
    <row r="1" spans="1:11" x14ac:dyDescent="0.25">
      <c r="A1" s="2" t="s">
        <v>0</v>
      </c>
      <c r="B1" s="2" t="s">
        <v>1</v>
      </c>
      <c r="C1" s="2" t="s">
        <v>2</v>
      </c>
      <c r="D1" s="2" t="s">
        <v>3</v>
      </c>
      <c r="E1" s="2" t="s">
        <v>254</v>
      </c>
      <c r="F1" s="2" t="s">
        <v>5</v>
      </c>
      <c r="G1" s="2" t="s">
        <v>6</v>
      </c>
      <c r="H1" s="2" t="s">
        <v>256</v>
      </c>
      <c r="I1" s="2" t="s">
        <v>253</v>
      </c>
      <c r="J1" s="2" t="s">
        <v>255</v>
      </c>
      <c r="K1" s="2" t="s">
        <v>257</v>
      </c>
    </row>
    <row r="2" spans="1:11" x14ac:dyDescent="0.25">
      <c r="A2" s="6">
        <v>45658</v>
      </c>
      <c r="B2" s="7" t="s">
        <v>8</v>
      </c>
      <c r="C2" t="s">
        <v>247</v>
      </c>
      <c r="D2">
        <v>153</v>
      </c>
      <c r="E2">
        <v>67.33</v>
      </c>
      <c r="F2">
        <v>82</v>
      </c>
      <c r="G2">
        <v>7</v>
      </c>
      <c r="H2">
        <v>4.58</v>
      </c>
      <c r="I2" s="3">
        <f>Table13[[#This Row],[Bounce Rate]]/100</f>
        <v>0.67330000000000001</v>
      </c>
      <c r="J2" s="3">
        <f>Table13[[#This Row],[Conversion Rate ]]/100</f>
        <v>4.58E-2</v>
      </c>
      <c r="K2" s="5">
        <f>Table13[[#This Row],[Avg Session Duration (sec)]]/60</f>
        <v>1.3666666666666667</v>
      </c>
    </row>
    <row r="3" spans="1:11" x14ac:dyDescent="0.25">
      <c r="A3" s="6">
        <v>45659</v>
      </c>
      <c r="B3" s="7" t="s">
        <v>9</v>
      </c>
      <c r="C3" t="s">
        <v>248</v>
      </c>
      <c r="D3">
        <v>202</v>
      </c>
      <c r="E3">
        <v>57.85</v>
      </c>
      <c r="F3">
        <v>226</v>
      </c>
      <c r="G3">
        <v>6</v>
      </c>
      <c r="H3">
        <v>2.97</v>
      </c>
      <c r="I3" s="3">
        <f>Table13[[#This Row],[Bounce Rate]]/100</f>
        <v>0.57850000000000001</v>
      </c>
      <c r="J3" s="3">
        <f>Table13[[#This Row],[Conversion Rate ]]/100</f>
        <v>2.9700000000000001E-2</v>
      </c>
      <c r="K3" s="5">
        <f>Table13[[#This Row],[Avg Session Duration (sec)]]/60</f>
        <v>3.7666666666666666</v>
      </c>
    </row>
    <row r="4" spans="1:11" x14ac:dyDescent="0.25">
      <c r="A4" s="6">
        <v>45660</v>
      </c>
      <c r="B4" s="7" t="s">
        <v>10</v>
      </c>
      <c r="C4" t="s">
        <v>249</v>
      </c>
      <c r="D4">
        <v>318</v>
      </c>
      <c r="E4">
        <v>60.01</v>
      </c>
      <c r="F4">
        <v>329</v>
      </c>
      <c r="G4">
        <v>24</v>
      </c>
      <c r="H4">
        <v>7.55</v>
      </c>
      <c r="I4" s="3">
        <f>Table13[[#This Row],[Bounce Rate]]/100</f>
        <v>0.60009999999999997</v>
      </c>
      <c r="J4" s="3">
        <f>Table13[[#This Row],[Conversion Rate ]]/100</f>
        <v>7.5499999999999998E-2</v>
      </c>
      <c r="K4" s="5">
        <f>Table13[[#This Row],[Avg Session Duration (sec)]]/60</f>
        <v>5.4833333333333334</v>
      </c>
    </row>
    <row r="5" spans="1:11" x14ac:dyDescent="0.25">
      <c r="A5" s="6">
        <v>45661</v>
      </c>
      <c r="B5" s="7" t="s">
        <v>11</v>
      </c>
      <c r="C5" t="s">
        <v>250</v>
      </c>
      <c r="D5">
        <v>276</v>
      </c>
      <c r="E5">
        <v>36.200000000000003</v>
      </c>
      <c r="F5">
        <v>329</v>
      </c>
      <c r="G5">
        <v>33</v>
      </c>
      <c r="H5">
        <v>11.96</v>
      </c>
      <c r="I5" s="3">
        <f>Table13[[#This Row],[Bounce Rate]]/100</f>
        <v>0.36200000000000004</v>
      </c>
      <c r="J5" s="3">
        <f>Table13[[#This Row],[Conversion Rate ]]/100</f>
        <v>0.11960000000000001</v>
      </c>
      <c r="K5" s="5">
        <f>Table13[[#This Row],[Avg Session Duration (sec)]]/60</f>
        <v>5.4833333333333334</v>
      </c>
    </row>
    <row r="6" spans="1:11" x14ac:dyDescent="0.25">
      <c r="A6" s="6">
        <v>45662</v>
      </c>
      <c r="B6" s="7" t="s">
        <v>12</v>
      </c>
      <c r="C6" t="s">
        <v>251</v>
      </c>
      <c r="D6">
        <v>245</v>
      </c>
      <c r="E6">
        <v>56.18</v>
      </c>
      <c r="F6">
        <v>330</v>
      </c>
      <c r="G6">
        <v>44</v>
      </c>
      <c r="H6">
        <v>17.96</v>
      </c>
      <c r="I6" s="3">
        <f>Table13[[#This Row],[Bounce Rate]]/100</f>
        <v>0.56179999999999997</v>
      </c>
      <c r="J6" s="3">
        <f>Table13[[#This Row],[Conversion Rate ]]/100</f>
        <v>0.17960000000000001</v>
      </c>
      <c r="K6" s="5">
        <f>Table13[[#This Row],[Avg Session Duration (sec)]]/60</f>
        <v>5.5</v>
      </c>
    </row>
    <row r="7" spans="1:11" x14ac:dyDescent="0.25">
      <c r="A7" s="6">
        <v>45663</v>
      </c>
      <c r="B7" s="7" t="s">
        <v>13</v>
      </c>
      <c r="C7" t="s">
        <v>252</v>
      </c>
      <c r="D7">
        <v>174</v>
      </c>
      <c r="E7">
        <v>27.73</v>
      </c>
      <c r="F7">
        <v>140</v>
      </c>
      <c r="G7">
        <v>32</v>
      </c>
      <c r="H7">
        <v>18.39</v>
      </c>
      <c r="I7" s="3">
        <f>Table13[[#This Row],[Bounce Rate]]/100</f>
        <v>0.27729999999999999</v>
      </c>
      <c r="J7" s="3">
        <f>Table13[[#This Row],[Conversion Rate ]]/100</f>
        <v>0.18390000000000001</v>
      </c>
      <c r="K7" s="5">
        <f>Table13[[#This Row],[Avg Session Duration (sec)]]/60</f>
        <v>2.3333333333333335</v>
      </c>
    </row>
    <row r="8" spans="1:11" x14ac:dyDescent="0.25">
      <c r="A8" s="6">
        <v>45664</v>
      </c>
      <c r="B8" s="7" t="s">
        <v>14</v>
      </c>
      <c r="C8" t="s">
        <v>252</v>
      </c>
      <c r="D8">
        <v>387</v>
      </c>
      <c r="E8">
        <v>48.66</v>
      </c>
      <c r="F8">
        <v>66</v>
      </c>
      <c r="G8">
        <v>43</v>
      </c>
      <c r="H8">
        <v>11.11</v>
      </c>
      <c r="I8" s="3">
        <f>Table13[[#This Row],[Bounce Rate]]/100</f>
        <v>0.48659999999999998</v>
      </c>
      <c r="J8" s="3">
        <f>Table13[[#This Row],[Conversion Rate ]]/100</f>
        <v>0.11109999999999999</v>
      </c>
      <c r="K8" s="5">
        <f>Table13[[#This Row],[Avg Session Duration (sec)]]/60</f>
        <v>1.1000000000000001</v>
      </c>
    </row>
    <row r="9" spans="1:11" x14ac:dyDescent="0.25">
      <c r="A9" s="6">
        <v>45665</v>
      </c>
      <c r="B9" s="7" t="s">
        <v>15</v>
      </c>
      <c r="C9" t="s">
        <v>247</v>
      </c>
      <c r="D9">
        <v>179</v>
      </c>
      <c r="E9">
        <v>67.14</v>
      </c>
      <c r="F9">
        <v>216</v>
      </c>
      <c r="G9">
        <v>5</v>
      </c>
      <c r="H9">
        <v>2.79</v>
      </c>
      <c r="I9" s="3">
        <f>Table13[[#This Row],[Bounce Rate]]/100</f>
        <v>0.6714</v>
      </c>
      <c r="J9" s="3">
        <f>Table13[[#This Row],[Conversion Rate ]]/100</f>
        <v>2.7900000000000001E-2</v>
      </c>
      <c r="K9" s="5">
        <f>Table13[[#This Row],[Avg Session Duration (sec)]]/60</f>
        <v>3.6</v>
      </c>
    </row>
    <row r="10" spans="1:11" x14ac:dyDescent="0.25">
      <c r="A10" s="6">
        <v>45666</v>
      </c>
      <c r="B10" s="7" t="s">
        <v>16</v>
      </c>
      <c r="C10" t="s">
        <v>249</v>
      </c>
      <c r="D10">
        <v>546</v>
      </c>
      <c r="E10">
        <v>30.3</v>
      </c>
      <c r="F10">
        <v>98</v>
      </c>
      <c r="G10">
        <v>17</v>
      </c>
      <c r="H10">
        <v>3.11</v>
      </c>
      <c r="I10" s="3">
        <f>Table13[[#This Row],[Bounce Rate]]/100</f>
        <v>0.30299999999999999</v>
      </c>
      <c r="J10" s="3">
        <f>Table13[[#This Row],[Conversion Rate ]]/100</f>
        <v>3.1099999999999999E-2</v>
      </c>
      <c r="K10" s="5">
        <f>Table13[[#This Row],[Avg Session Duration (sec)]]/60</f>
        <v>1.6333333333333333</v>
      </c>
    </row>
    <row r="11" spans="1:11" x14ac:dyDescent="0.25">
      <c r="A11" s="6">
        <v>45667</v>
      </c>
      <c r="B11" s="7" t="s">
        <v>17</v>
      </c>
      <c r="C11" t="s">
        <v>252</v>
      </c>
      <c r="D11">
        <v>228</v>
      </c>
      <c r="E11">
        <v>60.84</v>
      </c>
      <c r="F11">
        <v>122</v>
      </c>
      <c r="G11">
        <v>3</v>
      </c>
      <c r="H11">
        <v>1.32</v>
      </c>
      <c r="I11" s="3">
        <f>Table13[[#This Row],[Bounce Rate]]/100</f>
        <v>0.60840000000000005</v>
      </c>
      <c r="J11" s="3">
        <f>Table13[[#This Row],[Conversion Rate ]]/100</f>
        <v>1.32E-2</v>
      </c>
      <c r="K11" s="5">
        <f>Table13[[#This Row],[Avg Session Duration (sec)]]/60</f>
        <v>2.0333333333333332</v>
      </c>
    </row>
    <row r="12" spans="1:11" x14ac:dyDescent="0.25">
      <c r="A12" s="6">
        <v>45668</v>
      </c>
      <c r="B12" s="7" t="s">
        <v>18</v>
      </c>
      <c r="C12" t="s">
        <v>250</v>
      </c>
      <c r="D12">
        <v>244</v>
      </c>
      <c r="E12">
        <v>32.31</v>
      </c>
      <c r="F12">
        <v>192</v>
      </c>
      <c r="G12">
        <v>6</v>
      </c>
      <c r="H12">
        <v>2.46</v>
      </c>
      <c r="I12" s="3">
        <f>Table13[[#This Row],[Bounce Rate]]/100</f>
        <v>0.3231</v>
      </c>
      <c r="J12" s="3">
        <f>Table13[[#This Row],[Conversion Rate ]]/100</f>
        <v>2.46E-2</v>
      </c>
      <c r="K12" s="5">
        <f>Table13[[#This Row],[Avg Session Duration (sec)]]/60</f>
        <v>3.2</v>
      </c>
    </row>
    <row r="13" spans="1:11" x14ac:dyDescent="0.25">
      <c r="A13" s="6">
        <v>45669</v>
      </c>
      <c r="B13" s="7" t="s">
        <v>19</v>
      </c>
      <c r="C13" t="s">
        <v>248</v>
      </c>
      <c r="D13">
        <v>161</v>
      </c>
      <c r="E13">
        <v>27.7</v>
      </c>
      <c r="F13">
        <v>163</v>
      </c>
      <c r="G13">
        <v>23</v>
      </c>
      <c r="H13">
        <v>14.29</v>
      </c>
      <c r="I13" s="3">
        <f>Table13[[#This Row],[Bounce Rate]]/100</f>
        <v>0.27699999999999997</v>
      </c>
      <c r="J13" s="3">
        <f>Table13[[#This Row],[Conversion Rate ]]/100</f>
        <v>0.1429</v>
      </c>
      <c r="K13" s="5">
        <f>Table13[[#This Row],[Avg Session Duration (sec)]]/60</f>
        <v>2.7166666666666668</v>
      </c>
    </row>
    <row r="14" spans="1:11" x14ac:dyDescent="0.25">
      <c r="A14" s="6">
        <v>45670</v>
      </c>
      <c r="B14" s="7" t="s">
        <v>20</v>
      </c>
      <c r="C14" t="s">
        <v>249</v>
      </c>
      <c r="D14">
        <v>186</v>
      </c>
      <c r="E14">
        <v>61.59</v>
      </c>
      <c r="F14">
        <v>116</v>
      </c>
      <c r="G14">
        <v>30</v>
      </c>
      <c r="H14">
        <v>16.13</v>
      </c>
      <c r="I14" s="3">
        <f>Table13[[#This Row],[Bounce Rate]]/100</f>
        <v>0.6159</v>
      </c>
      <c r="J14" s="3">
        <f>Table13[[#This Row],[Conversion Rate ]]/100</f>
        <v>0.1613</v>
      </c>
      <c r="K14" s="5">
        <f>Table13[[#This Row],[Avg Session Duration (sec)]]/60</f>
        <v>1.9333333333333333</v>
      </c>
    </row>
    <row r="15" spans="1:11" x14ac:dyDescent="0.25">
      <c r="A15" s="6">
        <v>45671</v>
      </c>
      <c r="B15" s="7" t="s">
        <v>21</v>
      </c>
      <c r="C15" t="s">
        <v>247</v>
      </c>
      <c r="D15">
        <v>134</v>
      </c>
      <c r="E15">
        <v>63.27</v>
      </c>
      <c r="F15">
        <v>102</v>
      </c>
      <c r="G15">
        <v>25</v>
      </c>
      <c r="H15">
        <v>18.66</v>
      </c>
      <c r="I15" s="3">
        <f>Table13[[#This Row],[Bounce Rate]]/100</f>
        <v>0.63270000000000004</v>
      </c>
      <c r="J15" s="3">
        <f>Table13[[#This Row],[Conversion Rate ]]/100</f>
        <v>0.18659999999999999</v>
      </c>
      <c r="K15" s="5">
        <f>Table13[[#This Row],[Avg Session Duration (sec)]]/60</f>
        <v>1.7</v>
      </c>
    </row>
    <row r="16" spans="1:11" x14ac:dyDescent="0.25">
      <c r="A16" s="6">
        <v>45672</v>
      </c>
      <c r="B16" s="7" t="s">
        <v>22</v>
      </c>
      <c r="C16" t="s">
        <v>249</v>
      </c>
      <c r="D16">
        <v>363</v>
      </c>
      <c r="E16">
        <v>53.47</v>
      </c>
      <c r="F16">
        <v>255</v>
      </c>
      <c r="G16">
        <v>21</v>
      </c>
      <c r="H16">
        <v>5.79</v>
      </c>
      <c r="I16" s="3">
        <f>Table13[[#This Row],[Bounce Rate]]/100</f>
        <v>0.53469999999999995</v>
      </c>
      <c r="J16" s="3">
        <f>Table13[[#This Row],[Conversion Rate ]]/100</f>
        <v>5.79E-2</v>
      </c>
      <c r="K16" s="5">
        <f>Table13[[#This Row],[Avg Session Duration (sec)]]/60</f>
        <v>4.25</v>
      </c>
    </row>
    <row r="17" spans="1:11" x14ac:dyDescent="0.25">
      <c r="A17" s="6">
        <v>45673</v>
      </c>
      <c r="B17" s="7" t="s">
        <v>23</v>
      </c>
      <c r="C17" t="s">
        <v>251</v>
      </c>
      <c r="D17">
        <v>433</v>
      </c>
      <c r="E17">
        <v>33.26</v>
      </c>
      <c r="F17">
        <v>271</v>
      </c>
      <c r="G17">
        <v>21</v>
      </c>
      <c r="H17">
        <v>4.8499999999999996</v>
      </c>
      <c r="I17" s="3">
        <f>Table13[[#This Row],[Bounce Rate]]/100</f>
        <v>0.33260000000000001</v>
      </c>
      <c r="J17" s="3">
        <f>Table13[[#This Row],[Conversion Rate ]]/100</f>
        <v>4.8499999999999995E-2</v>
      </c>
      <c r="K17" s="5">
        <f>Table13[[#This Row],[Avg Session Duration (sec)]]/60</f>
        <v>4.5166666666666666</v>
      </c>
    </row>
    <row r="18" spans="1:11" x14ac:dyDescent="0.25">
      <c r="A18" s="6">
        <v>45674</v>
      </c>
      <c r="B18" s="7" t="s">
        <v>24</v>
      </c>
      <c r="C18" t="s">
        <v>247</v>
      </c>
      <c r="D18">
        <v>508</v>
      </c>
      <c r="E18">
        <v>60.4</v>
      </c>
      <c r="F18">
        <v>154</v>
      </c>
      <c r="G18">
        <v>19</v>
      </c>
      <c r="H18">
        <v>3.74</v>
      </c>
      <c r="I18" s="3">
        <f>Table13[[#This Row],[Bounce Rate]]/100</f>
        <v>0.60399999999999998</v>
      </c>
      <c r="J18" s="3">
        <f>Table13[[#This Row],[Conversion Rate ]]/100</f>
        <v>3.7400000000000003E-2</v>
      </c>
      <c r="K18" s="5">
        <f>Table13[[#This Row],[Avg Session Duration (sec)]]/60</f>
        <v>2.5666666666666669</v>
      </c>
    </row>
    <row r="19" spans="1:11" x14ac:dyDescent="0.25">
      <c r="A19" s="6">
        <v>45675</v>
      </c>
      <c r="B19" s="7" t="s">
        <v>25</v>
      </c>
      <c r="C19" t="s">
        <v>252</v>
      </c>
      <c r="D19">
        <v>210</v>
      </c>
      <c r="E19">
        <v>64.05</v>
      </c>
      <c r="F19">
        <v>251</v>
      </c>
      <c r="G19">
        <v>2</v>
      </c>
      <c r="H19">
        <v>0.95</v>
      </c>
      <c r="I19" s="3">
        <f>Table13[[#This Row],[Bounce Rate]]/100</f>
        <v>0.64049999999999996</v>
      </c>
      <c r="J19" s="3">
        <f>Table13[[#This Row],[Conversion Rate ]]/100</f>
        <v>9.4999999999999998E-3</v>
      </c>
      <c r="K19" s="5">
        <f>Table13[[#This Row],[Avg Session Duration (sec)]]/60</f>
        <v>4.1833333333333336</v>
      </c>
    </row>
    <row r="20" spans="1:11" x14ac:dyDescent="0.25">
      <c r="A20" s="6">
        <v>45676</v>
      </c>
      <c r="B20" s="7" t="s">
        <v>26</v>
      </c>
      <c r="C20" t="s">
        <v>251</v>
      </c>
      <c r="D20">
        <v>304</v>
      </c>
      <c r="E20">
        <v>61.07</v>
      </c>
      <c r="F20">
        <v>332</v>
      </c>
      <c r="G20">
        <v>15</v>
      </c>
      <c r="H20">
        <v>4.93</v>
      </c>
      <c r="I20" s="3">
        <f>Table13[[#This Row],[Bounce Rate]]/100</f>
        <v>0.61070000000000002</v>
      </c>
      <c r="J20" s="3">
        <f>Table13[[#This Row],[Conversion Rate ]]/100</f>
        <v>4.9299999999999997E-2</v>
      </c>
      <c r="K20" s="5">
        <f>Table13[[#This Row],[Avg Session Duration (sec)]]/60</f>
        <v>5.5333333333333332</v>
      </c>
    </row>
    <row r="21" spans="1:11" x14ac:dyDescent="0.25">
      <c r="A21" s="6">
        <v>45677</v>
      </c>
      <c r="B21" s="7" t="s">
        <v>27</v>
      </c>
      <c r="C21" t="s">
        <v>247</v>
      </c>
      <c r="D21">
        <v>78</v>
      </c>
      <c r="E21">
        <v>54.32</v>
      </c>
      <c r="F21">
        <v>134</v>
      </c>
      <c r="G21">
        <v>25</v>
      </c>
      <c r="H21">
        <v>32.049999999999997</v>
      </c>
      <c r="I21" s="3">
        <f>Table13[[#This Row],[Bounce Rate]]/100</f>
        <v>0.54320000000000002</v>
      </c>
      <c r="J21" s="3">
        <f>Table13[[#This Row],[Conversion Rate ]]/100</f>
        <v>0.32049999999999995</v>
      </c>
      <c r="K21" s="5">
        <f>Table13[[#This Row],[Avg Session Duration (sec)]]/60</f>
        <v>2.2333333333333334</v>
      </c>
    </row>
    <row r="22" spans="1:11" x14ac:dyDescent="0.25">
      <c r="A22" s="6">
        <v>45678</v>
      </c>
      <c r="B22" s="7" t="s">
        <v>28</v>
      </c>
      <c r="C22" t="s">
        <v>252</v>
      </c>
      <c r="D22">
        <v>129</v>
      </c>
      <c r="E22">
        <v>68.56</v>
      </c>
      <c r="F22">
        <v>324</v>
      </c>
      <c r="G22">
        <v>6</v>
      </c>
      <c r="H22">
        <v>4.6500000000000004</v>
      </c>
      <c r="I22" s="3">
        <f>Table13[[#This Row],[Bounce Rate]]/100</f>
        <v>0.68559999999999999</v>
      </c>
      <c r="J22" s="3">
        <f>Table13[[#This Row],[Conversion Rate ]]/100</f>
        <v>4.6500000000000007E-2</v>
      </c>
      <c r="K22" s="5">
        <f>Table13[[#This Row],[Avg Session Duration (sec)]]/60</f>
        <v>5.4</v>
      </c>
    </row>
    <row r="23" spans="1:11" x14ac:dyDescent="0.25">
      <c r="A23" s="6">
        <v>45679</v>
      </c>
      <c r="B23" s="7" t="s">
        <v>29</v>
      </c>
      <c r="C23" t="s">
        <v>251</v>
      </c>
      <c r="D23">
        <v>479</v>
      </c>
      <c r="E23">
        <v>41.45</v>
      </c>
      <c r="F23">
        <v>228</v>
      </c>
      <c r="G23">
        <v>42</v>
      </c>
      <c r="H23">
        <v>8.77</v>
      </c>
      <c r="I23" s="3">
        <f>Table13[[#This Row],[Bounce Rate]]/100</f>
        <v>0.41450000000000004</v>
      </c>
      <c r="J23" s="3">
        <f>Table13[[#This Row],[Conversion Rate ]]/100</f>
        <v>8.77E-2</v>
      </c>
      <c r="K23" s="5">
        <f>Table13[[#This Row],[Avg Session Duration (sec)]]/60</f>
        <v>3.8</v>
      </c>
    </row>
    <row r="24" spans="1:11" x14ac:dyDescent="0.25">
      <c r="A24" s="6">
        <v>45680</v>
      </c>
      <c r="B24" s="7" t="s">
        <v>30</v>
      </c>
      <c r="C24" t="s">
        <v>247</v>
      </c>
      <c r="D24">
        <v>379</v>
      </c>
      <c r="E24">
        <v>29.94</v>
      </c>
      <c r="F24">
        <v>190</v>
      </c>
      <c r="G24">
        <v>33</v>
      </c>
      <c r="H24">
        <v>8.7100000000000009</v>
      </c>
      <c r="I24" s="3">
        <f>Table13[[#This Row],[Bounce Rate]]/100</f>
        <v>0.2994</v>
      </c>
      <c r="J24" s="3">
        <f>Table13[[#This Row],[Conversion Rate ]]/100</f>
        <v>8.7100000000000011E-2</v>
      </c>
      <c r="K24" s="5">
        <f>Table13[[#This Row],[Avg Session Duration (sec)]]/60</f>
        <v>3.1666666666666665</v>
      </c>
    </row>
    <row r="25" spans="1:11" x14ac:dyDescent="0.25">
      <c r="A25" s="6">
        <v>45681</v>
      </c>
      <c r="B25" s="7" t="s">
        <v>31</v>
      </c>
      <c r="C25" t="s">
        <v>252</v>
      </c>
      <c r="D25">
        <v>91</v>
      </c>
      <c r="E25">
        <v>42.45</v>
      </c>
      <c r="F25">
        <v>231</v>
      </c>
      <c r="G25">
        <v>5</v>
      </c>
      <c r="H25">
        <v>5.49</v>
      </c>
      <c r="I25" s="3">
        <f>Table13[[#This Row],[Bounce Rate]]/100</f>
        <v>0.42450000000000004</v>
      </c>
      <c r="J25" s="3">
        <f>Table13[[#This Row],[Conversion Rate ]]/100</f>
        <v>5.4900000000000004E-2</v>
      </c>
      <c r="K25" s="5">
        <f>Table13[[#This Row],[Avg Session Duration (sec)]]/60</f>
        <v>3.85</v>
      </c>
    </row>
    <row r="26" spans="1:11" x14ac:dyDescent="0.25">
      <c r="A26" s="6">
        <v>45682</v>
      </c>
      <c r="B26" s="7" t="s">
        <v>32</v>
      </c>
      <c r="C26" t="s">
        <v>251</v>
      </c>
      <c r="D26">
        <v>342</v>
      </c>
      <c r="E26">
        <v>66.13</v>
      </c>
      <c r="F26">
        <v>91</v>
      </c>
      <c r="G26">
        <v>21</v>
      </c>
      <c r="H26">
        <v>6.14</v>
      </c>
      <c r="I26" s="3">
        <f>Table13[[#This Row],[Bounce Rate]]/100</f>
        <v>0.6613</v>
      </c>
      <c r="J26" s="3">
        <f>Table13[[#This Row],[Conversion Rate ]]/100</f>
        <v>6.1399999999999996E-2</v>
      </c>
      <c r="K26" s="5">
        <f>Table13[[#This Row],[Avg Session Duration (sec)]]/60</f>
        <v>1.5166666666666666</v>
      </c>
    </row>
    <row r="27" spans="1:11" x14ac:dyDescent="0.25">
      <c r="A27" s="6">
        <v>45683</v>
      </c>
      <c r="B27" s="7" t="s">
        <v>33</v>
      </c>
      <c r="C27" t="s">
        <v>247</v>
      </c>
      <c r="D27">
        <v>474</v>
      </c>
      <c r="E27">
        <v>69.08</v>
      </c>
      <c r="F27">
        <v>129</v>
      </c>
      <c r="G27">
        <v>32</v>
      </c>
      <c r="H27">
        <v>6.75</v>
      </c>
      <c r="I27" s="3">
        <f>Table13[[#This Row],[Bounce Rate]]/100</f>
        <v>0.69079999999999997</v>
      </c>
      <c r="J27" s="3">
        <f>Table13[[#This Row],[Conversion Rate ]]/100</f>
        <v>6.7500000000000004E-2</v>
      </c>
      <c r="K27" s="5">
        <f>Table13[[#This Row],[Avg Session Duration (sec)]]/60</f>
        <v>2.15</v>
      </c>
    </row>
    <row r="28" spans="1:11" x14ac:dyDescent="0.25">
      <c r="A28" s="6">
        <v>45684</v>
      </c>
      <c r="B28" s="7" t="s">
        <v>34</v>
      </c>
      <c r="C28" t="s">
        <v>252</v>
      </c>
      <c r="D28">
        <v>404</v>
      </c>
      <c r="E28">
        <v>28.06</v>
      </c>
      <c r="F28">
        <v>130</v>
      </c>
      <c r="G28">
        <v>33</v>
      </c>
      <c r="H28">
        <v>8.17</v>
      </c>
      <c r="I28" s="3">
        <f>Table13[[#This Row],[Bounce Rate]]/100</f>
        <v>0.28059999999999996</v>
      </c>
      <c r="J28" s="3">
        <f>Table13[[#This Row],[Conversion Rate ]]/100</f>
        <v>8.1699999999999995E-2</v>
      </c>
      <c r="K28" s="5">
        <f>Table13[[#This Row],[Avg Session Duration (sec)]]/60</f>
        <v>2.1666666666666665</v>
      </c>
    </row>
    <row r="29" spans="1:11" x14ac:dyDescent="0.25">
      <c r="A29" s="6">
        <v>45685</v>
      </c>
      <c r="B29" s="7" t="s">
        <v>35</v>
      </c>
      <c r="C29" t="s">
        <v>248</v>
      </c>
      <c r="D29">
        <v>109</v>
      </c>
      <c r="E29">
        <v>28.34</v>
      </c>
      <c r="F29">
        <v>132</v>
      </c>
      <c r="G29">
        <v>30</v>
      </c>
      <c r="H29">
        <v>27.52</v>
      </c>
      <c r="I29" s="3">
        <f>Table13[[#This Row],[Bounce Rate]]/100</f>
        <v>0.28339999999999999</v>
      </c>
      <c r="J29" s="3">
        <f>Table13[[#This Row],[Conversion Rate ]]/100</f>
        <v>0.2752</v>
      </c>
      <c r="K29" s="5">
        <f>Table13[[#This Row],[Avg Session Duration (sec)]]/60</f>
        <v>2.2000000000000002</v>
      </c>
    </row>
    <row r="30" spans="1:11" x14ac:dyDescent="0.25">
      <c r="A30" s="6">
        <v>45686</v>
      </c>
      <c r="B30" s="7" t="s">
        <v>36</v>
      </c>
      <c r="C30" t="s">
        <v>250</v>
      </c>
      <c r="D30">
        <v>385</v>
      </c>
      <c r="E30">
        <v>50.03</v>
      </c>
      <c r="F30">
        <v>227</v>
      </c>
      <c r="G30">
        <v>11</v>
      </c>
      <c r="H30">
        <v>2.86</v>
      </c>
      <c r="I30" s="3">
        <f>Table13[[#This Row],[Bounce Rate]]/100</f>
        <v>0.50029999999999997</v>
      </c>
      <c r="J30" s="3">
        <f>Table13[[#This Row],[Conversion Rate ]]/100</f>
        <v>2.86E-2</v>
      </c>
      <c r="K30" s="5">
        <f>Table13[[#This Row],[Avg Session Duration (sec)]]/60</f>
        <v>3.7833333333333332</v>
      </c>
    </row>
    <row r="31" spans="1:11" x14ac:dyDescent="0.25">
      <c r="A31" s="6">
        <v>45687</v>
      </c>
      <c r="B31" s="7" t="s">
        <v>37</v>
      </c>
      <c r="C31" t="s">
        <v>252</v>
      </c>
      <c r="D31">
        <v>181</v>
      </c>
      <c r="E31">
        <v>36.19</v>
      </c>
      <c r="F31">
        <v>207</v>
      </c>
      <c r="G31">
        <v>28</v>
      </c>
      <c r="H31">
        <v>15.47</v>
      </c>
      <c r="I31" s="3">
        <f>Table13[[#This Row],[Bounce Rate]]/100</f>
        <v>0.3619</v>
      </c>
      <c r="J31" s="3">
        <f>Table13[[#This Row],[Conversion Rate ]]/100</f>
        <v>0.1547</v>
      </c>
      <c r="K31" s="5">
        <f>Table13[[#This Row],[Avg Session Duration (sec)]]/60</f>
        <v>3.45</v>
      </c>
    </row>
    <row r="32" spans="1:11" x14ac:dyDescent="0.25">
      <c r="A32" s="6">
        <v>45688</v>
      </c>
      <c r="B32" s="7" t="s">
        <v>38</v>
      </c>
      <c r="C32" t="s">
        <v>247</v>
      </c>
      <c r="D32">
        <v>215</v>
      </c>
      <c r="E32">
        <v>66.88</v>
      </c>
      <c r="F32">
        <v>291</v>
      </c>
      <c r="G32">
        <v>24</v>
      </c>
      <c r="H32">
        <v>11.16</v>
      </c>
      <c r="I32" s="3">
        <f>Table13[[#This Row],[Bounce Rate]]/100</f>
        <v>0.66879999999999995</v>
      </c>
      <c r="J32" s="3">
        <f>Table13[[#This Row],[Conversion Rate ]]/100</f>
        <v>0.1116</v>
      </c>
      <c r="K32" s="5">
        <f>Table13[[#This Row],[Avg Session Duration (sec)]]/60</f>
        <v>4.8499999999999996</v>
      </c>
    </row>
    <row r="33" spans="1:11" x14ac:dyDescent="0.25">
      <c r="A33" s="6">
        <v>45689</v>
      </c>
      <c r="B33" s="7" t="s">
        <v>39</v>
      </c>
      <c r="C33" t="s">
        <v>252</v>
      </c>
      <c r="D33">
        <v>420</v>
      </c>
      <c r="E33">
        <v>51.95</v>
      </c>
      <c r="F33">
        <v>231</v>
      </c>
      <c r="G33">
        <v>11</v>
      </c>
      <c r="H33">
        <v>2.62</v>
      </c>
      <c r="I33" s="3">
        <f>Table13[[#This Row],[Bounce Rate]]/100</f>
        <v>0.51950000000000007</v>
      </c>
      <c r="J33" s="3">
        <f>Table13[[#This Row],[Conversion Rate ]]/100</f>
        <v>2.6200000000000001E-2</v>
      </c>
      <c r="K33" s="5">
        <f>Table13[[#This Row],[Avg Session Duration (sec)]]/60</f>
        <v>3.85</v>
      </c>
    </row>
    <row r="34" spans="1:11" x14ac:dyDescent="0.25">
      <c r="A34" s="6">
        <v>45690</v>
      </c>
      <c r="B34" s="7" t="s">
        <v>40</v>
      </c>
      <c r="C34" t="s">
        <v>249</v>
      </c>
      <c r="D34">
        <v>136</v>
      </c>
      <c r="E34">
        <v>53.07</v>
      </c>
      <c r="F34">
        <v>289</v>
      </c>
      <c r="G34">
        <v>18</v>
      </c>
      <c r="H34">
        <v>13.24</v>
      </c>
      <c r="I34" s="3">
        <f>Table13[[#This Row],[Bounce Rate]]/100</f>
        <v>0.53069999999999995</v>
      </c>
      <c r="J34" s="3">
        <f>Table13[[#This Row],[Conversion Rate ]]/100</f>
        <v>0.13239999999999999</v>
      </c>
      <c r="K34" s="5">
        <f>Table13[[#This Row],[Avg Session Duration (sec)]]/60</f>
        <v>4.8166666666666664</v>
      </c>
    </row>
    <row r="35" spans="1:11" x14ac:dyDescent="0.25">
      <c r="A35" s="6">
        <v>45691</v>
      </c>
      <c r="B35" s="7" t="s">
        <v>41</v>
      </c>
      <c r="C35" t="s">
        <v>252</v>
      </c>
      <c r="D35">
        <v>64</v>
      </c>
      <c r="E35">
        <v>44.03</v>
      </c>
      <c r="F35">
        <v>145</v>
      </c>
      <c r="G35">
        <v>41</v>
      </c>
      <c r="H35">
        <v>64.06</v>
      </c>
      <c r="I35" s="3">
        <f>Table13[[#This Row],[Bounce Rate]]/100</f>
        <v>0.44030000000000002</v>
      </c>
      <c r="J35" s="3">
        <f>Table13[[#This Row],[Conversion Rate ]]/100</f>
        <v>0.64060000000000006</v>
      </c>
      <c r="K35" s="5">
        <f>Table13[[#This Row],[Avg Session Duration (sec)]]/60</f>
        <v>2.4166666666666665</v>
      </c>
    </row>
    <row r="36" spans="1:11" x14ac:dyDescent="0.25">
      <c r="A36" s="6">
        <v>45692</v>
      </c>
      <c r="B36" s="7" t="s">
        <v>42</v>
      </c>
      <c r="C36" t="s">
        <v>249</v>
      </c>
      <c r="D36">
        <v>228</v>
      </c>
      <c r="E36">
        <v>50.14</v>
      </c>
      <c r="F36">
        <v>236</v>
      </c>
      <c r="G36">
        <v>22</v>
      </c>
      <c r="H36">
        <v>9.65</v>
      </c>
      <c r="I36" s="3">
        <f>Table13[[#This Row],[Bounce Rate]]/100</f>
        <v>0.50139999999999996</v>
      </c>
      <c r="J36" s="3">
        <f>Table13[[#This Row],[Conversion Rate ]]/100</f>
        <v>9.6500000000000002E-2</v>
      </c>
      <c r="K36" s="5">
        <f>Table13[[#This Row],[Avg Session Duration (sec)]]/60</f>
        <v>3.9333333333333331</v>
      </c>
    </row>
    <row r="37" spans="1:11" x14ac:dyDescent="0.25">
      <c r="A37" s="6">
        <v>45693</v>
      </c>
      <c r="B37" s="7" t="s">
        <v>43</v>
      </c>
      <c r="C37" t="s">
        <v>248</v>
      </c>
      <c r="D37">
        <v>414</v>
      </c>
      <c r="E37">
        <v>31.35</v>
      </c>
      <c r="F37">
        <v>112</v>
      </c>
      <c r="G37">
        <v>39</v>
      </c>
      <c r="H37">
        <v>9.42</v>
      </c>
      <c r="I37" s="3">
        <f>Table13[[#This Row],[Bounce Rate]]/100</f>
        <v>0.3135</v>
      </c>
      <c r="J37" s="3">
        <f>Table13[[#This Row],[Conversion Rate ]]/100</f>
        <v>9.4200000000000006E-2</v>
      </c>
      <c r="K37" s="5">
        <f>Table13[[#This Row],[Avg Session Duration (sec)]]/60</f>
        <v>1.8666666666666667</v>
      </c>
    </row>
    <row r="38" spans="1:11" x14ac:dyDescent="0.25">
      <c r="A38" s="6">
        <v>45694</v>
      </c>
      <c r="B38" s="7" t="s">
        <v>44</v>
      </c>
      <c r="C38" t="s">
        <v>248</v>
      </c>
      <c r="D38">
        <v>343</v>
      </c>
      <c r="E38">
        <v>32.72</v>
      </c>
      <c r="F38">
        <v>221</v>
      </c>
      <c r="G38">
        <v>9</v>
      </c>
      <c r="H38">
        <v>2.62</v>
      </c>
      <c r="I38" s="3">
        <f>Table13[[#This Row],[Bounce Rate]]/100</f>
        <v>0.32719999999999999</v>
      </c>
      <c r="J38" s="3">
        <f>Table13[[#This Row],[Conversion Rate ]]/100</f>
        <v>2.6200000000000001E-2</v>
      </c>
      <c r="K38" s="5">
        <f>Table13[[#This Row],[Avg Session Duration (sec)]]/60</f>
        <v>3.6833333333333331</v>
      </c>
    </row>
    <row r="39" spans="1:11" x14ac:dyDescent="0.25">
      <c r="A39" s="6">
        <v>45695</v>
      </c>
      <c r="B39" s="7" t="s">
        <v>45</v>
      </c>
      <c r="C39" t="s">
        <v>249</v>
      </c>
      <c r="D39">
        <v>363</v>
      </c>
      <c r="E39">
        <v>56.66</v>
      </c>
      <c r="F39">
        <v>281</v>
      </c>
      <c r="G39">
        <v>11</v>
      </c>
      <c r="H39">
        <v>3.03</v>
      </c>
      <c r="I39" s="3">
        <f>Table13[[#This Row],[Bounce Rate]]/100</f>
        <v>0.56659999999999999</v>
      </c>
      <c r="J39" s="3">
        <f>Table13[[#This Row],[Conversion Rate ]]/100</f>
        <v>3.0299999999999997E-2</v>
      </c>
      <c r="K39" s="5">
        <f>Table13[[#This Row],[Avg Session Duration (sec)]]/60</f>
        <v>4.6833333333333336</v>
      </c>
    </row>
    <row r="40" spans="1:11" x14ac:dyDescent="0.25">
      <c r="A40" s="6">
        <v>45696</v>
      </c>
      <c r="B40" s="7" t="s">
        <v>46</v>
      </c>
      <c r="C40" t="s">
        <v>252</v>
      </c>
      <c r="D40">
        <v>544</v>
      </c>
      <c r="E40">
        <v>61.55</v>
      </c>
      <c r="F40">
        <v>198</v>
      </c>
      <c r="G40">
        <v>4</v>
      </c>
      <c r="H40">
        <v>0.74</v>
      </c>
      <c r="I40" s="3">
        <f>Table13[[#This Row],[Bounce Rate]]/100</f>
        <v>0.61549999999999994</v>
      </c>
      <c r="J40" s="3">
        <f>Table13[[#This Row],[Conversion Rate ]]/100</f>
        <v>7.4000000000000003E-3</v>
      </c>
      <c r="K40" s="5">
        <f>Table13[[#This Row],[Avg Session Duration (sec)]]/60</f>
        <v>3.3</v>
      </c>
    </row>
    <row r="41" spans="1:11" x14ac:dyDescent="0.25">
      <c r="A41" s="6">
        <v>45697</v>
      </c>
      <c r="B41" s="7" t="s">
        <v>47</v>
      </c>
      <c r="C41" t="s">
        <v>249</v>
      </c>
      <c r="D41">
        <v>393</v>
      </c>
      <c r="E41">
        <v>53.75</v>
      </c>
      <c r="F41">
        <v>308</v>
      </c>
      <c r="G41">
        <v>31</v>
      </c>
      <c r="H41">
        <v>7.89</v>
      </c>
      <c r="I41" s="3">
        <f>Table13[[#This Row],[Bounce Rate]]/100</f>
        <v>0.53749999999999998</v>
      </c>
      <c r="J41" s="3">
        <f>Table13[[#This Row],[Conversion Rate ]]/100</f>
        <v>7.8899999999999998E-2</v>
      </c>
      <c r="K41" s="5">
        <f>Table13[[#This Row],[Avg Session Duration (sec)]]/60</f>
        <v>5.1333333333333337</v>
      </c>
    </row>
    <row r="42" spans="1:11" x14ac:dyDescent="0.25">
      <c r="A42" s="6">
        <v>45698</v>
      </c>
      <c r="B42" s="7" t="s">
        <v>48</v>
      </c>
      <c r="C42" t="s">
        <v>252</v>
      </c>
      <c r="D42">
        <v>317</v>
      </c>
      <c r="E42">
        <v>26.88</v>
      </c>
      <c r="F42">
        <v>207</v>
      </c>
      <c r="G42">
        <v>3</v>
      </c>
      <c r="H42">
        <v>0.95</v>
      </c>
      <c r="I42" s="3">
        <f>Table13[[#This Row],[Bounce Rate]]/100</f>
        <v>0.26879999999999998</v>
      </c>
      <c r="J42" s="3">
        <f>Table13[[#This Row],[Conversion Rate ]]/100</f>
        <v>9.4999999999999998E-3</v>
      </c>
      <c r="K42" s="5">
        <f>Table13[[#This Row],[Avg Session Duration (sec)]]/60</f>
        <v>3.45</v>
      </c>
    </row>
    <row r="43" spans="1:11" x14ac:dyDescent="0.25">
      <c r="A43" s="6">
        <v>45699</v>
      </c>
      <c r="B43" s="7" t="s">
        <v>49</v>
      </c>
      <c r="C43" t="s">
        <v>249</v>
      </c>
      <c r="D43">
        <v>588</v>
      </c>
      <c r="E43">
        <v>58.54</v>
      </c>
      <c r="F43">
        <v>149</v>
      </c>
      <c r="G43">
        <v>1</v>
      </c>
      <c r="H43">
        <v>0.17</v>
      </c>
      <c r="I43" s="3">
        <f>Table13[[#This Row],[Bounce Rate]]/100</f>
        <v>0.58540000000000003</v>
      </c>
      <c r="J43" s="3">
        <f>Table13[[#This Row],[Conversion Rate ]]/100</f>
        <v>1.7000000000000001E-3</v>
      </c>
      <c r="K43" s="5">
        <f>Table13[[#This Row],[Avg Session Duration (sec)]]/60</f>
        <v>2.4833333333333334</v>
      </c>
    </row>
    <row r="44" spans="1:11" x14ac:dyDescent="0.25">
      <c r="A44" s="6">
        <v>45700</v>
      </c>
      <c r="B44" s="7" t="s">
        <v>50</v>
      </c>
      <c r="C44" t="s">
        <v>250</v>
      </c>
      <c r="D44">
        <v>551</v>
      </c>
      <c r="E44">
        <v>44</v>
      </c>
      <c r="F44">
        <v>209</v>
      </c>
      <c r="G44">
        <v>38</v>
      </c>
      <c r="H44">
        <v>6.9</v>
      </c>
      <c r="I44" s="3">
        <f>Table13[[#This Row],[Bounce Rate]]/100</f>
        <v>0.44</v>
      </c>
      <c r="J44" s="3">
        <f>Table13[[#This Row],[Conversion Rate ]]/100</f>
        <v>6.9000000000000006E-2</v>
      </c>
      <c r="K44" s="5">
        <f>Table13[[#This Row],[Avg Session Duration (sec)]]/60</f>
        <v>3.4833333333333334</v>
      </c>
    </row>
    <row r="45" spans="1:11" x14ac:dyDescent="0.25">
      <c r="A45" s="6">
        <v>45701</v>
      </c>
      <c r="B45" s="7" t="s">
        <v>51</v>
      </c>
      <c r="C45" t="s">
        <v>249</v>
      </c>
      <c r="D45">
        <v>340</v>
      </c>
      <c r="E45">
        <v>38.58</v>
      </c>
      <c r="F45">
        <v>272</v>
      </c>
      <c r="G45">
        <v>39</v>
      </c>
      <c r="H45">
        <v>11.47</v>
      </c>
      <c r="I45" s="3">
        <f>Table13[[#This Row],[Bounce Rate]]/100</f>
        <v>0.38579999999999998</v>
      </c>
      <c r="J45" s="3">
        <f>Table13[[#This Row],[Conversion Rate ]]/100</f>
        <v>0.11470000000000001</v>
      </c>
      <c r="K45" s="5">
        <f>Table13[[#This Row],[Avg Session Duration (sec)]]/60</f>
        <v>4.5333333333333332</v>
      </c>
    </row>
    <row r="46" spans="1:11" x14ac:dyDescent="0.25">
      <c r="A46" s="6">
        <v>45702</v>
      </c>
      <c r="B46" s="7" t="s">
        <v>52</v>
      </c>
      <c r="C46" t="s">
        <v>252</v>
      </c>
      <c r="D46">
        <v>245</v>
      </c>
      <c r="E46">
        <v>25</v>
      </c>
      <c r="F46">
        <v>298</v>
      </c>
      <c r="G46">
        <v>37</v>
      </c>
      <c r="H46">
        <v>15.1</v>
      </c>
      <c r="I46" s="3">
        <f>Table13[[#This Row],[Bounce Rate]]/100</f>
        <v>0.25</v>
      </c>
      <c r="J46" s="3">
        <f>Table13[[#This Row],[Conversion Rate ]]/100</f>
        <v>0.151</v>
      </c>
      <c r="K46" s="5">
        <f>Table13[[#This Row],[Avg Session Duration (sec)]]/60</f>
        <v>4.9666666666666668</v>
      </c>
    </row>
    <row r="47" spans="1:11" x14ac:dyDescent="0.25">
      <c r="A47" s="6">
        <v>45703</v>
      </c>
      <c r="B47" s="7" t="s">
        <v>53</v>
      </c>
      <c r="C47" t="s">
        <v>250</v>
      </c>
      <c r="D47">
        <v>566</v>
      </c>
      <c r="E47">
        <v>30.78</v>
      </c>
      <c r="F47">
        <v>83</v>
      </c>
      <c r="G47">
        <v>22</v>
      </c>
      <c r="H47">
        <v>3.89</v>
      </c>
      <c r="I47" s="3">
        <f>Table13[[#This Row],[Bounce Rate]]/100</f>
        <v>0.30780000000000002</v>
      </c>
      <c r="J47" s="3">
        <f>Table13[[#This Row],[Conversion Rate ]]/100</f>
        <v>3.8900000000000004E-2</v>
      </c>
      <c r="K47" s="5">
        <f>Table13[[#This Row],[Avg Session Duration (sec)]]/60</f>
        <v>1.3833333333333333</v>
      </c>
    </row>
    <row r="48" spans="1:11" x14ac:dyDescent="0.25">
      <c r="A48" s="6">
        <v>45704</v>
      </c>
      <c r="B48" s="7" t="s">
        <v>54</v>
      </c>
      <c r="C48" t="s">
        <v>249</v>
      </c>
      <c r="D48">
        <v>185</v>
      </c>
      <c r="E48">
        <v>27.33</v>
      </c>
      <c r="F48">
        <v>63</v>
      </c>
      <c r="G48">
        <v>34</v>
      </c>
      <c r="H48">
        <v>18.38</v>
      </c>
      <c r="I48" s="3">
        <f>Table13[[#This Row],[Bounce Rate]]/100</f>
        <v>0.27329999999999999</v>
      </c>
      <c r="J48" s="3">
        <f>Table13[[#This Row],[Conversion Rate ]]/100</f>
        <v>0.18379999999999999</v>
      </c>
      <c r="K48" s="5">
        <f>Table13[[#This Row],[Avg Session Duration (sec)]]/60</f>
        <v>1.05</v>
      </c>
    </row>
    <row r="49" spans="1:11" x14ac:dyDescent="0.25">
      <c r="A49" s="6">
        <v>45705</v>
      </c>
      <c r="B49" s="7" t="s">
        <v>55</v>
      </c>
      <c r="C49" t="s">
        <v>251</v>
      </c>
      <c r="D49">
        <v>284</v>
      </c>
      <c r="E49">
        <v>52.26</v>
      </c>
      <c r="F49">
        <v>342</v>
      </c>
      <c r="G49">
        <v>24</v>
      </c>
      <c r="H49">
        <v>8.4499999999999993</v>
      </c>
      <c r="I49" s="3">
        <f>Table13[[#This Row],[Bounce Rate]]/100</f>
        <v>0.52259999999999995</v>
      </c>
      <c r="J49" s="3">
        <f>Table13[[#This Row],[Conversion Rate ]]/100</f>
        <v>8.4499999999999992E-2</v>
      </c>
      <c r="K49" s="5">
        <f>Table13[[#This Row],[Avg Session Duration (sec)]]/60</f>
        <v>5.7</v>
      </c>
    </row>
    <row r="50" spans="1:11" x14ac:dyDescent="0.25">
      <c r="A50" s="6">
        <v>45706</v>
      </c>
      <c r="B50" s="7" t="s">
        <v>56</v>
      </c>
      <c r="C50" t="s">
        <v>247</v>
      </c>
      <c r="D50">
        <v>308</v>
      </c>
      <c r="E50">
        <v>43.12</v>
      </c>
      <c r="F50">
        <v>165</v>
      </c>
      <c r="G50">
        <v>6</v>
      </c>
      <c r="H50">
        <v>1.95</v>
      </c>
      <c r="I50" s="3">
        <f>Table13[[#This Row],[Bounce Rate]]/100</f>
        <v>0.43119999999999997</v>
      </c>
      <c r="J50" s="3">
        <f>Table13[[#This Row],[Conversion Rate ]]/100</f>
        <v>1.95E-2</v>
      </c>
      <c r="K50" s="5">
        <f>Table13[[#This Row],[Avg Session Duration (sec)]]/60</f>
        <v>2.75</v>
      </c>
    </row>
    <row r="51" spans="1:11" x14ac:dyDescent="0.25">
      <c r="A51" s="6">
        <v>45707</v>
      </c>
      <c r="B51" s="7" t="s">
        <v>57</v>
      </c>
      <c r="C51" t="s">
        <v>250</v>
      </c>
      <c r="D51">
        <v>122</v>
      </c>
      <c r="E51">
        <v>40.11</v>
      </c>
      <c r="F51">
        <v>338</v>
      </c>
      <c r="G51">
        <v>20</v>
      </c>
      <c r="H51">
        <v>16.39</v>
      </c>
      <c r="I51" s="3">
        <f>Table13[[#This Row],[Bounce Rate]]/100</f>
        <v>0.40110000000000001</v>
      </c>
      <c r="J51" s="3">
        <f>Table13[[#This Row],[Conversion Rate ]]/100</f>
        <v>0.16390000000000002</v>
      </c>
      <c r="K51" s="5">
        <f>Table13[[#This Row],[Avg Session Duration (sec)]]/60</f>
        <v>5.6333333333333337</v>
      </c>
    </row>
    <row r="52" spans="1:11" x14ac:dyDescent="0.25">
      <c r="A52" s="6">
        <v>45708</v>
      </c>
      <c r="B52" s="7" t="s">
        <v>58</v>
      </c>
      <c r="C52" t="s">
        <v>249</v>
      </c>
      <c r="D52">
        <v>566</v>
      </c>
      <c r="E52">
        <v>48.77</v>
      </c>
      <c r="F52">
        <v>153</v>
      </c>
      <c r="G52">
        <v>41</v>
      </c>
      <c r="H52">
        <v>7.24</v>
      </c>
      <c r="I52" s="3">
        <f>Table13[[#This Row],[Bounce Rate]]/100</f>
        <v>0.48770000000000002</v>
      </c>
      <c r="J52" s="3">
        <f>Table13[[#This Row],[Conversion Rate ]]/100</f>
        <v>7.2400000000000006E-2</v>
      </c>
      <c r="K52" s="5">
        <f>Table13[[#This Row],[Avg Session Duration (sec)]]/60</f>
        <v>2.5499999999999998</v>
      </c>
    </row>
    <row r="53" spans="1:11" x14ac:dyDescent="0.25">
      <c r="A53" s="6">
        <v>45709</v>
      </c>
      <c r="B53" s="7" t="s">
        <v>59</v>
      </c>
      <c r="C53" t="s">
        <v>249</v>
      </c>
      <c r="D53">
        <v>562</v>
      </c>
      <c r="E53">
        <v>44.53</v>
      </c>
      <c r="F53">
        <v>86</v>
      </c>
      <c r="G53">
        <v>3</v>
      </c>
      <c r="H53">
        <v>0.53</v>
      </c>
      <c r="I53" s="3">
        <f>Table13[[#This Row],[Bounce Rate]]/100</f>
        <v>0.44530000000000003</v>
      </c>
      <c r="J53" s="3">
        <f>Table13[[#This Row],[Conversion Rate ]]/100</f>
        <v>5.3E-3</v>
      </c>
      <c r="K53" s="5">
        <f>Table13[[#This Row],[Avg Session Duration (sec)]]/60</f>
        <v>1.4333333333333333</v>
      </c>
    </row>
    <row r="54" spans="1:11" x14ac:dyDescent="0.25">
      <c r="A54" s="6">
        <v>45710</v>
      </c>
      <c r="B54" s="7" t="s">
        <v>60</v>
      </c>
      <c r="C54" t="s">
        <v>252</v>
      </c>
      <c r="D54">
        <v>582</v>
      </c>
      <c r="E54">
        <v>46.01</v>
      </c>
      <c r="F54">
        <v>145</v>
      </c>
      <c r="G54">
        <v>27</v>
      </c>
      <c r="H54">
        <v>4.6399999999999997</v>
      </c>
      <c r="I54" s="3">
        <f>Table13[[#This Row],[Bounce Rate]]/100</f>
        <v>0.46009999999999995</v>
      </c>
      <c r="J54" s="3">
        <f>Table13[[#This Row],[Conversion Rate ]]/100</f>
        <v>4.6399999999999997E-2</v>
      </c>
      <c r="K54" s="5">
        <f>Table13[[#This Row],[Avg Session Duration (sec)]]/60</f>
        <v>2.4166666666666665</v>
      </c>
    </row>
    <row r="55" spans="1:11" x14ac:dyDescent="0.25">
      <c r="A55" s="6">
        <v>45711</v>
      </c>
      <c r="B55" s="7" t="s">
        <v>61</v>
      </c>
      <c r="C55" t="s">
        <v>252</v>
      </c>
      <c r="D55">
        <v>527</v>
      </c>
      <c r="E55">
        <v>44.44</v>
      </c>
      <c r="F55">
        <v>147</v>
      </c>
      <c r="G55">
        <v>6</v>
      </c>
      <c r="H55">
        <v>1.1399999999999999</v>
      </c>
      <c r="I55" s="3">
        <f>Table13[[#This Row],[Bounce Rate]]/100</f>
        <v>0.44439999999999996</v>
      </c>
      <c r="J55" s="3">
        <f>Table13[[#This Row],[Conversion Rate ]]/100</f>
        <v>1.1399999999999999E-2</v>
      </c>
      <c r="K55" s="5">
        <f>Table13[[#This Row],[Avg Session Duration (sec)]]/60</f>
        <v>2.4500000000000002</v>
      </c>
    </row>
    <row r="56" spans="1:11" x14ac:dyDescent="0.25">
      <c r="A56" s="6">
        <v>45712</v>
      </c>
      <c r="B56" s="7" t="s">
        <v>62</v>
      </c>
      <c r="C56" t="s">
        <v>249</v>
      </c>
      <c r="D56">
        <v>593</v>
      </c>
      <c r="E56">
        <v>51.34</v>
      </c>
      <c r="F56">
        <v>122</v>
      </c>
      <c r="G56">
        <v>12</v>
      </c>
      <c r="H56">
        <v>2.02</v>
      </c>
      <c r="I56" s="3">
        <f>Table13[[#This Row],[Bounce Rate]]/100</f>
        <v>0.51340000000000008</v>
      </c>
      <c r="J56" s="3">
        <f>Table13[[#This Row],[Conversion Rate ]]/100</f>
        <v>2.0199999999999999E-2</v>
      </c>
      <c r="K56" s="5">
        <f>Table13[[#This Row],[Avg Session Duration (sec)]]/60</f>
        <v>2.0333333333333332</v>
      </c>
    </row>
    <row r="57" spans="1:11" x14ac:dyDescent="0.25">
      <c r="A57" s="6">
        <v>45713</v>
      </c>
      <c r="B57" s="7" t="s">
        <v>63</v>
      </c>
      <c r="C57" t="s">
        <v>247</v>
      </c>
      <c r="D57">
        <v>418</v>
      </c>
      <c r="E57">
        <v>49.5</v>
      </c>
      <c r="F57">
        <v>334</v>
      </c>
      <c r="G57">
        <v>39</v>
      </c>
      <c r="H57">
        <v>9.33</v>
      </c>
      <c r="I57" s="3">
        <f>Table13[[#This Row],[Bounce Rate]]/100</f>
        <v>0.495</v>
      </c>
      <c r="J57" s="3">
        <f>Table13[[#This Row],[Conversion Rate ]]/100</f>
        <v>9.3299999999999994E-2</v>
      </c>
      <c r="K57" s="5">
        <f>Table13[[#This Row],[Avg Session Duration (sec)]]/60</f>
        <v>5.5666666666666664</v>
      </c>
    </row>
    <row r="58" spans="1:11" x14ac:dyDescent="0.25">
      <c r="A58" s="6">
        <v>45714</v>
      </c>
      <c r="B58" s="7" t="s">
        <v>64</v>
      </c>
      <c r="C58" t="s">
        <v>247</v>
      </c>
      <c r="D58">
        <v>418</v>
      </c>
      <c r="E58">
        <v>69.900000000000006</v>
      </c>
      <c r="F58">
        <v>347</v>
      </c>
      <c r="G58">
        <v>34</v>
      </c>
      <c r="H58">
        <v>8.1300000000000008</v>
      </c>
      <c r="I58" s="3">
        <f>Table13[[#This Row],[Bounce Rate]]/100</f>
        <v>0.69900000000000007</v>
      </c>
      <c r="J58" s="3">
        <f>Table13[[#This Row],[Conversion Rate ]]/100</f>
        <v>8.1300000000000011E-2</v>
      </c>
      <c r="K58" s="5">
        <f>Table13[[#This Row],[Avg Session Duration (sec)]]/60</f>
        <v>5.7833333333333332</v>
      </c>
    </row>
    <row r="59" spans="1:11" x14ac:dyDescent="0.25">
      <c r="A59" s="6">
        <v>45715</v>
      </c>
      <c r="B59" s="7" t="s">
        <v>65</v>
      </c>
      <c r="C59" t="s">
        <v>250</v>
      </c>
      <c r="D59">
        <v>284</v>
      </c>
      <c r="E59">
        <v>42.11</v>
      </c>
      <c r="F59">
        <v>284</v>
      </c>
      <c r="G59">
        <v>21</v>
      </c>
      <c r="H59">
        <v>7.39</v>
      </c>
      <c r="I59" s="3">
        <f>Table13[[#This Row],[Bounce Rate]]/100</f>
        <v>0.42109999999999997</v>
      </c>
      <c r="J59" s="3">
        <f>Table13[[#This Row],[Conversion Rate ]]/100</f>
        <v>7.3899999999999993E-2</v>
      </c>
      <c r="K59" s="5">
        <f>Table13[[#This Row],[Avg Session Duration (sec)]]/60</f>
        <v>4.7333333333333334</v>
      </c>
    </row>
    <row r="60" spans="1:11" x14ac:dyDescent="0.25">
      <c r="A60" s="6">
        <v>45716</v>
      </c>
      <c r="B60" s="7" t="s">
        <v>66</v>
      </c>
      <c r="C60" t="s">
        <v>252</v>
      </c>
      <c r="D60">
        <v>200</v>
      </c>
      <c r="E60">
        <v>49.15</v>
      </c>
      <c r="F60">
        <v>139</v>
      </c>
      <c r="G60">
        <v>4</v>
      </c>
      <c r="H60">
        <v>2</v>
      </c>
      <c r="I60" s="3">
        <f>Table13[[#This Row],[Bounce Rate]]/100</f>
        <v>0.49149999999999999</v>
      </c>
      <c r="J60" s="3">
        <f>Table13[[#This Row],[Conversion Rate ]]/100</f>
        <v>0.02</v>
      </c>
      <c r="K60" s="5">
        <f>Table13[[#This Row],[Avg Session Duration (sec)]]/60</f>
        <v>2.3166666666666669</v>
      </c>
    </row>
    <row r="61" spans="1:11" x14ac:dyDescent="0.25">
      <c r="A61" s="6">
        <v>45717</v>
      </c>
      <c r="B61" s="7" t="s">
        <v>67</v>
      </c>
      <c r="C61" t="s">
        <v>250</v>
      </c>
      <c r="D61">
        <v>164</v>
      </c>
      <c r="E61">
        <v>62.11</v>
      </c>
      <c r="F61">
        <v>166</v>
      </c>
      <c r="G61">
        <v>5</v>
      </c>
      <c r="H61">
        <v>3.05</v>
      </c>
      <c r="I61" s="3">
        <f>Table13[[#This Row],[Bounce Rate]]/100</f>
        <v>0.62109999999999999</v>
      </c>
      <c r="J61" s="3">
        <f>Table13[[#This Row],[Conversion Rate ]]/100</f>
        <v>3.0499999999999999E-2</v>
      </c>
      <c r="K61" s="5">
        <f>Table13[[#This Row],[Avg Session Duration (sec)]]/60</f>
        <v>2.7666666666666666</v>
      </c>
    </row>
    <row r="62" spans="1:11" x14ac:dyDescent="0.25">
      <c r="A62" s="6">
        <v>45718</v>
      </c>
      <c r="B62" s="7" t="s">
        <v>68</v>
      </c>
      <c r="C62" t="s">
        <v>251</v>
      </c>
      <c r="D62">
        <v>212</v>
      </c>
      <c r="E62">
        <v>30.67</v>
      </c>
      <c r="F62">
        <v>346</v>
      </c>
      <c r="G62">
        <v>7</v>
      </c>
      <c r="H62">
        <v>3.3</v>
      </c>
      <c r="I62" s="3">
        <f>Table13[[#This Row],[Bounce Rate]]/100</f>
        <v>0.30670000000000003</v>
      </c>
      <c r="J62" s="3">
        <f>Table13[[#This Row],[Conversion Rate ]]/100</f>
        <v>3.3000000000000002E-2</v>
      </c>
      <c r="K62" s="5">
        <f>Table13[[#This Row],[Avg Session Duration (sec)]]/60</f>
        <v>5.7666666666666666</v>
      </c>
    </row>
    <row r="63" spans="1:11" x14ac:dyDescent="0.25">
      <c r="A63" s="6">
        <v>45719</v>
      </c>
      <c r="B63" s="7" t="s">
        <v>69</v>
      </c>
      <c r="C63" t="s">
        <v>250</v>
      </c>
      <c r="D63">
        <v>134</v>
      </c>
      <c r="E63">
        <v>38.44</v>
      </c>
      <c r="F63">
        <v>331</v>
      </c>
      <c r="G63">
        <v>24</v>
      </c>
      <c r="H63">
        <v>17.91</v>
      </c>
      <c r="I63" s="3">
        <f>Table13[[#This Row],[Bounce Rate]]/100</f>
        <v>0.38439999999999996</v>
      </c>
      <c r="J63" s="3">
        <f>Table13[[#This Row],[Conversion Rate ]]/100</f>
        <v>0.17910000000000001</v>
      </c>
      <c r="K63" s="5">
        <f>Table13[[#This Row],[Avg Session Duration (sec)]]/60</f>
        <v>5.5166666666666666</v>
      </c>
    </row>
    <row r="64" spans="1:11" x14ac:dyDescent="0.25">
      <c r="A64" s="6">
        <v>45720</v>
      </c>
      <c r="B64" s="7" t="s">
        <v>70</v>
      </c>
      <c r="C64" t="s">
        <v>247</v>
      </c>
      <c r="D64">
        <v>129</v>
      </c>
      <c r="E64">
        <v>41.68</v>
      </c>
      <c r="F64">
        <v>261</v>
      </c>
      <c r="G64">
        <v>16</v>
      </c>
      <c r="H64">
        <v>12.4</v>
      </c>
      <c r="I64" s="3">
        <f>Table13[[#This Row],[Bounce Rate]]/100</f>
        <v>0.4168</v>
      </c>
      <c r="J64" s="3">
        <f>Table13[[#This Row],[Conversion Rate ]]/100</f>
        <v>0.124</v>
      </c>
      <c r="K64" s="5">
        <f>Table13[[#This Row],[Avg Session Duration (sec)]]/60</f>
        <v>4.3499999999999996</v>
      </c>
    </row>
    <row r="65" spans="1:11" x14ac:dyDescent="0.25">
      <c r="A65" s="6">
        <v>45721</v>
      </c>
      <c r="B65" s="7" t="s">
        <v>71</v>
      </c>
      <c r="C65" t="s">
        <v>249</v>
      </c>
      <c r="D65">
        <v>454</v>
      </c>
      <c r="E65">
        <v>44.41</v>
      </c>
      <c r="F65">
        <v>95</v>
      </c>
      <c r="G65">
        <v>30</v>
      </c>
      <c r="H65">
        <v>6.61</v>
      </c>
      <c r="I65" s="3">
        <f>Table13[[#This Row],[Bounce Rate]]/100</f>
        <v>0.44409999999999994</v>
      </c>
      <c r="J65" s="3">
        <f>Table13[[#This Row],[Conversion Rate ]]/100</f>
        <v>6.6100000000000006E-2</v>
      </c>
      <c r="K65" s="5">
        <f>Table13[[#This Row],[Avg Session Duration (sec)]]/60</f>
        <v>1.5833333333333333</v>
      </c>
    </row>
    <row r="66" spans="1:11" x14ac:dyDescent="0.25">
      <c r="A66" s="6">
        <v>45722</v>
      </c>
      <c r="B66" s="7" t="s">
        <v>72</v>
      </c>
      <c r="C66" t="s">
        <v>252</v>
      </c>
      <c r="D66">
        <v>451</v>
      </c>
      <c r="E66">
        <v>50.22</v>
      </c>
      <c r="F66">
        <v>204</v>
      </c>
      <c r="G66">
        <v>37</v>
      </c>
      <c r="H66">
        <v>8.1999999999999993</v>
      </c>
      <c r="I66" s="3">
        <f>Table13[[#This Row],[Bounce Rate]]/100</f>
        <v>0.50219999999999998</v>
      </c>
      <c r="J66" s="3">
        <f>Table13[[#This Row],[Conversion Rate ]]/100</f>
        <v>8.199999999999999E-2</v>
      </c>
      <c r="K66" s="5">
        <f>Table13[[#This Row],[Avg Session Duration (sec)]]/60</f>
        <v>3.4</v>
      </c>
    </row>
    <row r="67" spans="1:11" x14ac:dyDescent="0.25">
      <c r="A67" s="6">
        <v>45723</v>
      </c>
      <c r="B67" s="7" t="s">
        <v>73</v>
      </c>
      <c r="C67" t="s">
        <v>247</v>
      </c>
      <c r="D67">
        <v>444</v>
      </c>
      <c r="E67">
        <v>69.709999999999994</v>
      </c>
      <c r="F67">
        <v>220</v>
      </c>
      <c r="G67">
        <v>8</v>
      </c>
      <c r="H67">
        <v>1.8</v>
      </c>
      <c r="I67" s="3">
        <f>Table13[[#This Row],[Bounce Rate]]/100</f>
        <v>0.69709999999999994</v>
      </c>
      <c r="J67" s="3">
        <f>Table13[[#This Row],[Conversion Rate ]]/100</f>
        <v>1.8000000000000002E-2</v>
      </c>
      <c r="K67" s="5">
        <f>Table13[[#This Row],[Avg Session Duration (sec)]]/60</f>
        <v>3.6666666666666665</v>
      </c>
    </row>
    <row r="68" spans="1:11" x14ac:dyDescent="0.25">
      <c r="A68" s="6">
        <v>45724</v>
      </c>
      <c r="B68" s="7" t="s">
        <v>74</v>
      </c>
      <c r="C68" t="s">
        <v>251</v>
      </c>
      <c r="D68">
        <v>50</v>
      </c>
      <c r="E68">
        <v>47</v>
      </c>
      <c r="F68">
        <v>200</v>
      </c>
      <c r="G68">
        <v>39</v>
      </c>
      <c r="H68">
        <v>78</v>
      </c>
      <c r="I68" s="3">
        <f>Table13[[#This Row],[Bounce Rate]]/100</f>
        <v>0.47</v>
      </c>
      <c r="J68" s="3">
        <f>Table13[[#This Row],[Conversion Rate ]]/100</f>
        <v>0.78</v>
      </c>
      <c r="K68" s="5">
        <f>Table13[[#This Row],[Avg Session Duration (sec)]]/60</f>
        <v>3.3333333333333335</v>
      </c>
    </row>
    <row r="69" spans="1:11" x14ac:dyDescent="0.25">
      <c r="A69" s="6">
        <v>45725</v>
      </c>
      <c r="B69" s="7" t="s">
        <v>75</v>
      </c>
      <c r="C69" t="s">
        <v>251</v>
      </c>
      <c r="D69">
        <v>276</v>
      </c>
      <c r="E69">
        <v>45.26</v>
      </c>
      <c r="F69">
        <v>71</v>
      </c>
      <c r="G69">
        <v>44</v>
      </c>
      <c r="H69">
        <v>15.94</v>
      </c>
      <c r="I69" s="3">
        <f>Table13[[#This Row],[Bounce Rate]]/100</f>
        <v>0.4526</v>
      </c>
      <c r="J69" s="3">
        <f>Table13[[#This Row],[Conversion Rate ]]/100</f>
        <v>0.15939999999999999</v>
      </c>
      <c r="K69" s="5">
        <f>Table13[[#This Row],[Avg Session Duration (sec)]]/60</f>
        <v>1.1833333333333333</v>
      </c>
    </row>
    <row r="70" spans="1:11" x14ac:dyDescent="0.25">
      <c r="A70" s="6">
        <v>45726</v>
      </c>
      <c r="B70" s="7" t="s">
        <v>76</v>
      </c>
      <c r="C70" t="s">
        <v>248</v>
      </c>
      <c r="D70">
        <v>169</v>
      </c>
      <c r="E70">
        <v>63.19</v>
      </c>
      <c r="F70">
        <v>251</v>
      </c>
      <c r="G70">
        <v>7</v>
      </c>
      <c r="H70">
        <v>4.1399999999999997</v>
      </c>
      <c r="I70" s="3">
        <f>Table13[[#This Row],[Bounce Rate]]/100</f>
        <v>0.63190000000000002</v>
      </c>
      <c r="J70" s="3">
        <f>Table13[[#This Row],[Conversion Rate ]]/100</f>
        <v>4.1399999999999999E-2</v>
      </c>
      <c r="K70" s="5">
        <f>Table13[[#This Row],[Avg Session Duration (sec)]]/60</f>
        <v>4.1833333333333336</v>
      </c>
    </row>
    <row r="71" spans="1:11" x14ac:dyDescent="0.25">
      <c r="A71" s="6">
        <v>45727</v>
      </c>
      <c r="B71" s="7" t="s">
        <v>77</v>
      </c>
      <c r="C71" t="s">
        <v>252</v>
      </c>
      <c r="D71">
        <v>168</v>
      </c>
      <c r="E71">
        <v>59.5</v>
      </c>
      <c r="F71">
        <v>217</v>
      </c>
      <c r="G71">
        <v>12</v>
      </c>
      <c r="H71">
        <v>7.14</v>
      </c>
      <c r="I71" s="3">
        <f>Table13[[#This Row],[Bounce Rate]]/100</f>
        <v>0.59499999999999997</v>
      </c>
      <c r="J71" s="3">
        <f>Table13[[#This Row],[Conversion Rate ]]/100</f>
        <v>7.1399999999999991E-2</v>
      </c>
      <c r="K71" s="5">
        <f>Table13[[#This Row],[Avg Session Duration (sec)]]/60</f>
        <v>3.6166666666666667</v>
      </c>
    </row>
    <row r="72" spans="1:11" x14ac:dyDescent="0.25">
      <c r="A72" s="6">
        <v>45728</v>
      </c>
      <c r="B72" s="7" t="s">
        <v>78</v>
      </c>
      <c r="C72" t="s">
        <v>248</v>
      </c>
      <c r="D72">
        <v>206</v>
      </c>
      <c r="E72">
        <v>42.84</v>
      </c>
      <c r="F72">
        <v>223</v>
      </c>
      <c r="G72">
        <v>6</v>
      </c>
      <c r="H72">
        <v>2.91</v>
      </c>
      <c r="I72" s="3">
        <f>Table13[[#This Row],[Bounce Rate]]/100</f>
        <v>0.42840000000000006</v>
      </c>
      <c r="J72" s="3">
        <f>Table13[[#This Row],[Conversion Rate ]]/100</f>
        <v>2.9100000000000001E-2</v>
      </c>
      <c r="K72" s="5">
        <f>Table13[[#This Row],[Avg Session Duration (sec)]]/60</f>
        <v>3.7166666666666668</v>
      </c>
    </row>
    <row r="73" spans="1:11" x14ac:dyDescent="0.25">
      <c r="A73" s="6">
        <v>45729</v>
      </c>
      <c r="B73" s="7" t="s">
        <v>79</v>
      </c>
      <c r="C73" t="s">
        <v>247</v>
      </c>
      <c r="D73">
        <v>475</v>
      </c>
      <c r="E73">
        <v>66.75</v>
      </c>
      <c r="F73">
        <v>76</v>
      </c>
      <c r="G73">
        <v>25</v>
      </c>
      <c r="H73">
        <v>5.26</v>
      </c>
      <c r="I73" s="3">
        <f>Table13[[#This Row],[Bounce Rate]]/100</f>
        <v>0.66749999999999998</v>
      </c>
      <c r="J73" s="3">
        <f>Table13[[#This Row],[Conversion Rate ]]/100</f>
        <v>5.2600000000000001E-2</v>
      </c>
      <c r="K73" s="5">
        <f>Table13[[#This Row],[Avg Session Duration (sec)]]/60</f>
        <v>1.2666666666666666</v>
      </c>
    </row>
    <row r="74" spans="1:11" x14ac:dyDescent="0.25">
      <c r="A74" s="6">
        <v>45730</v>
      </c>
      <c r="B74" s="7" t="s">
        <v>80</v>
      </c>
      <c r="C74" t="s">
        <v>249</v>
      </c>
      <c r="D74">
        <v>223</v>
      </c>
      <c r="E74">
        <v>36.86</v>
      </c>
      <c r="F74">
        <v>209</v>
      </c>
      <c r="G74">
        <v>30</v>
      </c>
      <c r="H74">
        <v>13.45</v>
      </c>
      <c r="I74" s="3">
        <f>Table13[[#This Row],[Bounce Rate]]/100</f>
        <v>0.36859999999999998</v>
      </c>
      <c r="J74" s="3">
        <f>Table13[[#This Row],[Conversion Rate ]]/100</f>
        <v>0.13449999999999998</v>
      </c>
      <c r="K74" s="5">
        <f>Table13[[#This Row],[Avg Session Duration (sec)]]/60</f>
        <v>3.4833333333333334</v>
      </c>
    </row>
    <row r="75" spans="1:11" x14ac:dyDescent="0.25">
      <c r="A75" s="6">
        <v>45731</v>
      </c>
      <c r="B75" s="7" t="s">
        <v>81</v>
      </c>
      <c r="C75" t="s">
        <v>252</v>
      </c>
      <c r="D75">
        <v>494</v>
      </c>
      <c r="E75">
        <v>66.84</v>
      </c>
      <c r="F75">
        <v>222</v>
      </c>
      <c r="G75">
        <v>11</v>
      </c>
      <c r="H75">
        <v>2.23</v>
      </c>
      <c r="I75" s="3">
        <f>Table13[[#This Row],[Bounce Rate]]/100</f>
        <v>0.66839999999999999</v>
      </c>
      <c r="J75" s="3">
        <f>Table13[[#This Row],[Conversion Rate ]]/100</f>
        <v>2.23E-2</v>
      </c>
      <c r="K75" s="5">
        <f>Table13[[#This Row],[Avg Session Duration (sec)]]/60</f>
        <v>3.7</v>
      </c>
    </row>
    <row r="76" spans="1:11" x14ac:dyDescent="0.25">
      <c r="A76" s="6">
        <v>45732</v>
      </c>
      <c r="B76" s="7" t="s">
        <v>82</v>
      </c>
      <c r="C76" t="s">
        <v>250</v>
      </c>
      <c r="D76">
        <v>264</v>
      </c>
      <c r="E76">
        <v>58.19</v>
      </c>
      <c r="F76">
        <v>112</v>
      </c>
      <c r="G76">
        <v>30</v>
      </c>
      <c r="H76">
        <v>11.36</v>
      </c>
      <c r="I76" s="3">
        <f>Table13[[#This Row],[Bounce Rate]]/100</f>
        <v>0.58189999999999997</v>
      </c>
      <c r="J76" s="3">
        <f>Table13[[#This Row],[Conversion Rate ]]/100</f>
        <v>0.11359999999999999</v>
      </c>
      <c r="K76" s="5">
        <f>Table13[[#This Row],[Avg Session Duration (sec)]]/60</f>
        <v>1.8666666666666667</v>
      </c>
    </row>
    <row r="77" spans="1:11" x14ac:dyDescent="0.25">
      <c r="A77" s="6">
        <v>45733</v>
      </c>
      <c r="B77" s="7" t="s">
        <v>83</v>
      </c>
      <c r="C77" t="s">
        <v>252</v>
      </c>
      <c r="D77">
        <v>137</v>
      </c>
      <c r="E77">
        <v>57.31</v>
      </c>
      <c r="F77">
        <v>262</v>
      </c>
      <c r="G77">
        <v>43</v>
      </c>
      <c r="H77">
        <v>31.39</v>
      </c>
      <c r="I77" s="3">
        <f>Table13[[#This Row],[Bounce Rate]]/100</f>
        <v>0.57310000000000005</v>
      </c>
      <c r="J77" s="3">
        <f>Table13[[#This Row],[Conversion Rate ]]/100</f>
        <v>0.31390000000000001</v>
      </c>
      <c r="K77" s="5">
        <f>Table13[[#This Row],[Avg Session Duration (sec)]]/60</f>
        <v>4.3666666666666663</v>
      </c>
    </row>
    <row r="78" spans="1:11" x14ac:dyDescent="0.25">
      <c r="A78" s="6">
        <v>45734</v>
      </c>
      <c r="B78" s="7" t="s">
        <v>84</v>
      </c>
      <c r="C78" t="s">
        <v>247</v>
      </c>
      <c r="D78">
        <v>526</v>
      </c>
      <c r="E78">
        <v>62.13</v>
      </c>
      <c r="F78">
        <v>151</v>
      </c>
      <c r="G78">
        <v>37</v>
      </c>
      <c r="H78">
        <v>7.03</v>
      </c>
      <c r="I78" s="3">
        <f>Table13[[#This Row],[Bounce Rate]]/100</f>
        <v>0.62130000000000007</v>
      </c>
      <c r="J78" s="3">
        <f>Table13[[#This Row],[Conversion Rate ]]/100</f>
        <v>7.0300000000000001E-2</v>
      </c>
      <c r="K78" s="5">
        <f>Table13[[#This Row],[Avg Session Duration (sec)]]/60</f>
        <v>2.5166666666666666</v>
      </c>
    </row>
    <row r="79" spans="1:11" x14ac:dyDescent="0.25">
      <c r="A79" s="6">
        <v>45735</v>
      </c>
      <c r="B79" s="7" t="s">
        <v>85</v>
      </c>
      <c r="C79" t="s">
        <v>249</v>
      </c>
      <c r="D79">
        <v>293</v>
      </c>
      <c r="E79">
        <v>47.36</v>
      </c>
      <c r="F79">
        <v>181</v>
      </c>
      <c r="G79">
        <v>26</v>
      </c>
      <c r="H79">
        <v>8.8699999999999992</v>
      </c>
      <c r="I79" s="3">
        <f>Table13[[#This Row],[Bounce Rate]]/100</f>
        <v>0.47360000000000002</v>
      </c>
      <c r="J79" s="3">
        <f>Table13[[#This Row],[Conversion Rate ]]/100</f>
        <v>8.8699999999999987E-2</v>
      </c>
      <c r="K79" s="5">
        <f>Table13[[#This Row],[Avg Session Duration (sec)]]/60</f>
        <v>3.0166666666666666</v>
      </c>
    </row>
    <row r="80" spans="1:11" x14ac:dyDescent="0.25">
      <c r="A80" s="6">
        <v>45736</v>
      </c>
      <c r="B80" s="7" t="s">
        <v>86</v>
      </c>
      <c r="C80" t="s">
        <v>249</v>
      </c>
      <c r="D80">
        <v>426</v>
      </c>
      <c r="E80">
        <v>37.28</v>
      </c>
      <c r="F80">
        <v>241</v>
      </c>
      <c r="G80">
        <v>11</v>
      </c>
      <c r="H80">
        <v>2.58</v>
      </c>
      <c r="I80" s="3">
        <f>Table13[[#This Row],[Bounce Rate]]/100</f>
        <v>0.37280000000000002</v>
      </c>
      <c r="J80" s="3">
        <f>Table13[[#This Row],[Conversion Rate ]]/100</f>
        <v>2.58E-2</v>
      </c>
      <c r="K80" s="5">
        <f>Table13[[#This Row],[Avg Session Duration (sec)]]/60</f>
        <v>4.0166666666666666</v>
      </c>
    </row>
    <row r="81" spans="1:11" x14ac:dyDescent="0.25">
      <c r="A81" s="6">
        <v>45737</v>
      </c>
      <c r="B81" s="7" t="s">
        <v>87</v>
      </c>
      <c r="C81" t="s">
        <v>249</v>
      </c>
      <c r="D81">
        <v>61</v>
      </c>
      <c r="E81">
        <v>50.07</v>
      </c>
      <c r="F81">
        <v>333</v>
      </c>
      <c r="G81">
        <v>23</v>
      </c>
      <c r="H81">
        <v>37.700000000000003</v>
      </c>
      <c r="I81" s="3">
        <f>Table13[[#This Row],[Bounce Rate]]/100</f>
        <v>0.50070000000000003</v>
      </c>
      <c r="J81" s="3">
        <f>Table13[[#This Row],[Conversion Rate ]]/100</f>
        <v>0.377</v>
      </c>
      <c r="K81" s="5">
        <f>Table13[[#This Row],[Avg Session Duration (sec)]]/60</f>
        <v>5.55</v>
      </c>
    </row>
    <row r="82" spans="1:11" x14ac:dyDescent="0.25">
      <c r="A82" s="6">
        <v>45738</v>
      </c>
      <c r="B82" s="7" t="s">
        <v>88</v>
      </c>
      <c r="C82" t="s">
        <v>247</v>
      </c>
      <c r="D82">
        <v>456</v>
      </c>
      <c r="E82">
        <v>67.05</v>
      </c>
      <c r="F82">
        <v>82</v>
      </c>
      <c r="G82">
        <v>17</v>
      </c>
      <c r="H82">
        <v>3.73</v>
      </c>
      <c r="I82" s="3">
        <f>Table13[[#This Row],[Bounce Rate]]/100</f>
        <v>0.67049999999999998</v>
      </c>
      <c r="J82" s="3">
        <f>Table13[[#This Row],[Conversion Rate ]]/100</f>
        <v>3.73E-2</v>
      </c>
      <c r="K82" s="5">
        <f>Table13[[#This Row],[Avg Session Duration (sec)]]/60</f>
        <v>1.3666666666666667</v>
      </c>
    </row>
    <row r="83" spans="1:11" x14ac:dyDescent="0.25">
      <c r="A83" s="6">
        <v>45739</v>
      </c>
      <c r="B83" s="7" t="s">
        <v>89</v>
      </c>
      <c r="C83" t="s">
        <v>249</v>
      </c>
      <c r="D83">
        <v>143</v>
      </c>
      <c r="E83">
        <v>60.22</v>
      </c>
      <c r="F83">
        <v>151</v>
      </c>
      <c r="G83">
        <v>17</v>
      </c>
      <c r="H83">
        <v>11.89</v>
      </c>
      <c r="I83" s="3">
        <f>Table13[[#This Row],[Bounce Rate]]/100</f>
        <v>0.60219999999999996</v>
      </c>
      <c r="J83" s="3">
        <f>Table13[[#This Row],[Conversion Rate ]]/100</f>
        <v>0.11890000000000001</v>
      </c>
      <c r="K83" s="5">
        <f>Table13[[#This Row],[Avg Session Duration (sec)]]/60</f>
        <v>2.5166666666666666</v>
      </c>
    </row>
    <row r="84" spans="1:11" x14ac:dyDescent="0.25">
      <c r="A84" s="6">
        <v>45740</v>
      </c>
      <c r="B84" s="7" t="s">
        <v>90</v>
      </c>
      <c r="C84" t="s">
        <v>249</v>
      </c>
      <c r="D84">
        <v>409</v>
      </c>
      <c r="E84">
        <v>27.98</v>
      </c>
      <c r="F84">
        <v>63</v>
      </c>
      <c r="G84">
        <v>35</v>
      </c>
      <c r="H84">
        <v>8.56</v>
      </c>
      <c r="I84" s="3">
        <f>Table13[[#This Row],[Bounce Rate]]/100</f>
        <v>0.27979999999999999</v>
      </c>
      <c r="J84" s="3">
        <f>Table13[[#This Row],[Conversion Rate ]]/100</f>
        <v>8.5600000000000009E-2</v>
      </c>
      <c r="K84" s="5">
        <f>Table13[[#This Row],[Avg Session Duration (sec)]]/60</f>
        <v>1.05</v>
      </c>
    </row>
    <row r="85" spans="1:11" x14ac:dyDescent="0.25">
      <c r="A85" s="6">
        <v>45741</v>
      </c>
      <c r="B85" s="7" t="s">
        <v>91</v>
      </c>
      <c r="C85" t="s">
        <v>248</v>
      </c>
      <c r="D85">
        <v>360</v>
      </c>
      <c r="E85">
        <v>42.08</v>
      </c>
      <c r="F85">
        <v>265</v>
      </c>
      <c r="G85">
        <v>17</v>
      </c>
      <c r="H85">
        <v>4.72</v>
      </c>
      <c r="I85" s="3">
        <f>Table13[[#This Row],[Bounce Rate]]/100</f>
        <v>0.42080000000000001</v>
      </c>
      <c r="J85" s="3">
        <f>Table13[[#This Row],[Conversion Rate ]]/100</f>
        <v>4.7199999999999999E-2</v>
      </c>
      <c r="K85" s="5">
        <f>Table13[[#This Row],[Avg Session Duration (sec)]]/60</f>
        <v>4.416666666666667</v>
      </c>
    </row>
    <row r="86" spans="1:11" x14ac:dyDescent="0.25">
      <c r="A86" s="6">
        <v>45742</v>
      </c>
      <c r="B86" s="7" t="s">
        <v>92</v>
      </c>
      <c r="C86" t="s">
        <v>248</v>
      </c>
      <c r="D86">
        <v>442</v>
      </c>
      <c r="E86">
        <v>30.78</v>
      </c>
      <c r="F86">
        <v>133</v>
      </c>
      <c r="G86">
        <v>13</v>
      </c>
      <c r="H86">
        <v>2.94</v>
      </c>
      <c r="I86" s="3">
        <f>Table13[[#This Row],[Bounce Rate]]/100</f>
        <v>0.30780000000000002</v>
      </c>
      <c r="J86" s="3">
        <f>Table13[[#This Row],[Conversion Rate ]]/100</f>
        <v>2.9399999999999999E-2</v>
      </c>
      <c r="K86" s="5">
        <f>Table13[[#This Row],[Avg Session Duration (sec)]]/60</f>
        <v>2.2166666666666668</v>
      </c>
    </row>
    <row r="87" spans="1:11" x14ac:dyDescent="0.25">
      <c r="A87" s="6">
        <v>45743</v>
      </c>
      <c r="B87" s="7" t="s">
        <v>93</v>
      </c>
      <c r="C87" t="s">
        <v>252</v>
      </c>
      <c r="D87">
        <v>140</v>
      </c>
      <c r="E87">
        <v>57.34</v>
      </c>
      <c r="F87">
        <v>74</v>
      </c>
      <c r="G87">
        <v>4</v>
      </c>
      <c r="H87">
        <v>2.86</v>
      </c>
      <c r="I87" s="3">
        <f>Table13[[#This Row],[Bounce Rate]]/100</f>
        <v>0.57340000000000002</v>
      </c>
      <c r="J87" s="3">
        <f>Table13[[#This Row],[Conversion Rate ]]/100</f>
        <v>2.86E-2</v>
      </c>
      <c r="K87" s="5">
        <f>Table13[[#This Row],[Avg Session Duration (sec)]]/60</f>
        <v>1.2333333333333334</v>
      </c>
    </row>
    <row r="88" spans="1:11" x14ac:dyDescent="0.25">
      <c r="A88" s="6">
        <v>45744</v>
      </c>
      <c r="B88" s="7" t="s">
        <v>94</v>
      </c>
      <c r="C88" t="s">
        <v>252</v>
      </c>
      <c r="D88">
        <v>195</v>
      </c>
      <c r="E88">
        <v>54.92</v>
      </c>
      <c r="F88">
        <v>137</v>
      </c>
      <c r="G88">
        <v>27</v>
      </c>
      <c r="H88">
        <v>13.85</v>
      </c>
      <c r="I88" s="3">
        <f>Table13[[#This Row],[Bounce Rate]]/100</f>
        <v>0.54920000000000002</v>
      </c>
      <c r="J88" s="3">
        <f>Table13[[#This Row],[Conversion Rate ]]/100</f>
        <v>0.13849999999999998</v>
      </c>
      <c r="K88" s="5">
        <f>Table13[[#This Row],[Avg Session Duration (sec)]]/60</f>
        <v>2.2833333333333332</v>
      </c>
    </row>
    <row r="89" spans="1:11" x14ac:dyDescent="0.25">
      <c r="A89" s="6">
        <v>45745</v>
      </c>
      <c r="B89" s="7" t="s">
        <v>95</v>
      </c>
      <c r="C89" t="s">
        <v>248</v>
      </c>
      <c r="D89">
        <v>194</v>
      </c>
      <c r="E89">
        <v>60.78</v>
      </c>
      <c r="F89">
        <v>357</v>
      </c>
      <c r="G89">
        <v>29</v>
      </c>
      <c r="H89">
        <v>14.95</v>
      </c>
      <c r="I89" s="3">
        <f>Table13[[#This Row],[Bounce Rate]]/100</f>
        <v>0.60780000000000001</v>
      </c>
      <c r="J89" s="3">
        <f>Table13[[#This Row],[Conversion Rate ]]/100</f>
        <v>0.14949999999999999</v>
      </c>
      <c r="K89" s="5">
        <f>Table13[[#This Row],[Avg Session Duration (sec)]]/60</f>
        <v>5.95</v>
      </c>
    </row>
    <row r="90" spans="1:11" x14ac:dyDescent="0.25">
      <c r="A90" s="6">
        <v>45746</v>
      </c>
      <c r="B90" s="7" t="s">
        <v>96</v>
      </c>
      <c r="C90" t="s">
        <v>248</v>
      </c>
      <c r="D90">
        <v>106</v>
      </c>
      <c r="E90">
        <v>27.38</v>
      </c>
      <c r="F90">
        <v>218</v>
      </c>
      <c r="G90">
        <v>38</v>
      </c>
      <c r="H90">
        <v>35.85</v>
      </c>
      <c r="I90" s="3">
        <f>Table13[[#This Row],[Bounce Rate]]/100</f>
        <v>0.27379999999999999</v>
      </c>
      <c r="J90" s="3">
        <f>Table13[[#This Row],[Conversion Rate ]]/100</f>
        <v>0.35850000000000004</v>
      </c>
      <c r="K90" s="5">
        <f>Table13[[#This Row],[Avg Session Duration (sec)]]/60</f>
        <v>3.6333333333333333</v>
      </c>
    </row>
    <row r="91" spans="1:11" x14ac:dyDescent="0.25">
      <c r="A91" s="6">
        <v>45747</v>
      </c>
      <c r="B91" s="7" t="s">
        <v>97</v>
      </c>
      <c r="C91" t="s">
        <v>250</v>
      </c>
      <c r="D91">
        <v>295</v>
      </c>
      <c r="E91">
        <v>54.72</v>
      </c>
      <c r="F91">
        <v>163</v>
      </c>
      <c r="G91">
        <v>26</v>
      </c>
      <c r="H91">
        <v>8.81</v>
      </c>
      <c r="I91" s="3">
        <f>Table13[[#This Row],[Bounce Rate]]/100</f>
        <v>0.54720000000000002</v>
      </c>
      <c r="J91" s="3">
        <f>Table13[[#This Row],[Conversion Rate ]]/100</f>
        <v>8.8100000000000012E-2</v>
      </c>
      <c r="K91" s="5">
        <f>Table13[[#This Row],[Avg Session Duration (sec)]]/60</f>
        <v>2.7166666666666668</v>
      </c>
    </row>
    <row r="92" spans="1:11" x14ac:dyDescent="0.25">
      <c r="A92" s="6">
        <v>45748</v>
      </c>
      <c r="B92" s="7" t="s">
        <v>98</v>
      </c>
      <c r="C92" t="s">
        <v>248</v>
      </c>
      <c r="D92">
        <v>224</v>
      </c>
      <c r="E92">
        <v>33.049999999999997</v>
      </c>
      <c r="F92">
        <v>336</v>
      </c>
      <c r="G92">
        <v>36</v>
      </c>
      <c r="H92">
        <v>16.07</v>
      </c>
      <c r="I92" s="3">
        <f>Table13[[#This Row],[Bounce Rate]]/100</f>
        <v>0.33049999999999996</v>
      </c>
      <c r="J92" s="3">
        <f>Table13[[#This Row],[Conversion Rate ]]/100</f>
        <v>0.16070000000000001</v>
      </c>
      <c r="K92" s="5">
        <f>Table13[[#This Row],[Avg Session Duration (sec)]]/60</f>
        <v>5.6</v>
      </c>
    </row>
    <row r="93" spans="1:11" x14ac:dyDescent="0.25">
      <c r="A93" s="6">
        <v>45749</v>
      </c>
      <c r="B93" s="7" t="s">
        <v>99</v>
      </c>
      <c r="C93" t="s">
        <v>251</v>
      </c>
      <c r="D93">
        <v>117</v>
      </c>
      <c r="E93">
        <v>55.07</v>
      </c>
      <c r="F93">
        <v>292</v>
      </c>
      <c r="G93">
        <v>23</v>
      </c>
      <c r="H93">
        <v>19.66</v>
      </c>
      <c r="I93" s="3">
        <f>Table13[[#This Row],[Bounce Rate]]/100</f>
        <v>0.55069999999999997</v>
      </c>
      <c r="J93" s="3">
        <f>Table13[[#This Row],[Conversion Rate ]]/100</f>
        <v>0.1966</v>
      </c>
      <c r="K93" s="5">
        <f>Table13[[#This Row],[Avg Session Duration (sec)]]/60</f>
        <v>4.8666666666666663</v>
      </c>
    </row>
    <row r="94" spans="1:11" x14ac:dyDescent="0.25">
      <c r="A94" s="6">
        <v>45750</v>
      </c>
      <c r="B94" s="7" t="s">
        <v>100</v>
      </c>
      <c r="C94" t="s">
        <v>247</v>
      </c>
      <c r="D94">
        <v>290</v>
      </c>
      <c r="E94">
        <v>68.89</v>
      </c>
      <c r="F94">
        <v>284</v>
      </c>
      <c r="G94">
        <v>9</v>
      </c>
      <c r="H94">
        <v>3.1</v>
      </c>
      <c r="I94" s="3">
        <f>Table13[[#This Row],[Bounce Rate]]/100</f>
        <v>0.68889999999999996</v>
      </c>
      <c r="J94" s="3">
        <f>Table13[[#This Row],[Conversion Rate ]]/100</f>
        <v>3.1E-2</v>
      </c>
      <c r="K94" s="5">
        <f>Table13[[#This Row],[Avg Session Duration (sec)]]/60</f>
        <v>4.7333333333333334</v>
      </c>
    </row>
    <row r="95" spans="1:11" x14ac:dyDescent="0.25">
      <c r="A95" s="6">
        <v>45751</v>
      </c>
      <c r="B95" s="7" t="s">
        <v>101</v>
      </c>
      <c r="C95" t="s">
        <v>248</v>
      </c>
      <c r="D95">
        <v>342</v>
      </c>
      <c r="E95">
        <v>30.08</v>
      </c>
      <c r="F95">
        <v>255</v>
      </c>
      <c r="G95">
        <v>2</v>
      </c>
      <c r="H95">
        <v>0.57999999999999996</v>
      </c>
      <c r="I95" s="3">
        <f>Table13[[#This Row],[Bounce Rate]]/100</f>
        <v>0.30079999999999996</v>
      </c>
      <c r="J95" s="3">
        <f>Table13[[#This Row],[Conversion Rate ]]/100</f>
        <v>5.7999999999999996E-3</v>
      </c>
      <c r="K95" s="5">
        <f>Table13[[#This Row],[Avg Session Duration (sec)]]/60</f>
        <v>4.25</v>
      </c>
    </row>
    <row r="96" spans="1:11" x14ac:dyDescent="0.25">
      <c r="A96" s="6">
        <v>45752</v>
      </c>
      <c r="B96" s="7" t="s">
        <v>102</v>
      </c>
      <c r="C96" t="s">
        <v>249</v>
      </c>
      <c r="D96">
        <v>81</v>
      </c>
      <c r="E96">
        <v>50.38</v>
      </c>
      <c r="F96">
        <v>193</v>
      </c>
      <c r="G96">
        <v>32</v>
      </c>
      <c r="H96">
        <v>39.51</v>
      </c>
      <c r="I96" s="3">
        <f>Table13[[#This Row],[Bounce Rate]]/100</f>
        <v>0.50380000000000003</v>
      </c>
      <c r="J96" s="3">
        <f>Table13[[#This Row],[Conversion Rate ]]/100</f>
        <v>0.39510000000000001</v>
      </c>
      <c r="K96" s="5">
        <f>Table13[[#This Row],[Avg Session Duration (sec)]]/60</f>
        <v>3.2166666666666668</v>
      </c>
    </row>
    <row r="97" spans="1:11" x14ac:dyDescent="0.25">
      <c r="A97" s="6">
        <v>45753</v>
      </c>
      <c r="B97" s="7" t="s">
        <v>103</v>
      </c>
      <c r="C97" t="s">
        <v>252</v>
      </c>
      <c r="D97">
        <v>354</v>
      </c>
      <c r="E97">
        <v>68.69</v>
      </c>
      <c r="F97">
        <v>243</v>
      </c>
      <c r="G97">
        <v>42</v>
      </c>
      <c r="H97">
        <v>11.86</v>
      </c>
      <c r="I97" s="3">
        <f>Table13[[#This Row],[Bounce Rate]]/100</f>
        <v>0.68689999999999996</v>
      </c>
      <c r="J97" s="3">
        <f>Table13[[#This Row],[Conversion Rate ]]/100</f>
        <v>0.1186</v>
      </c>
      <c r="K97" s="5">
        <f>Table13[[#This Row],[Avg Session Duration (sec)]]/60</f>
        <v>4.05</v>
      </c>
    </row>
    <row r="98" spans="1:11" x14ac:dyDescent="0.25">
      <c r="A98" s="6">
        <v>45754</v>
      </c>
      <c r="B98" s="7" t="s">
        <v>104</v>
      </c>
      <c r="C98" t="s">
        <v>248</v>
      </c>
      <c r="D98">
        <v>237</v>
      </c>
      <c r="E98">
        <v>42.25</v>
      </c>
      <c r="F98">
        <v>285</v>
      </c>
      <c r="G98">
        <v>31</v>
      </c>
      <c r="H98">
        <v>13.08</v>
      </c>
      <c r="I98" s="3">
        <f>Table13[[#This Row],[Bounce Rate]]/100</f>
        <v>0.42249999999999999</v>
      </c>
      <c r="J98" s="3">
        <f>Table13[[#This Row],[Conversion Rate ]]/100</f>
        <v>0.1308</v>
      </c>
      <c r="K98" s="5">
        <f>Table13[[#This Row],[Avg Session Duration (sec)]]/60</f>
        <v>4.75</v>
      </c>
    </row>
    <row r="99" spans="1:11" x14ac:dyDescent="0.25">
      <c r="A99" s="6">
        <v>45755</v>
      </c>
      <c r="B99" s="7" t="s">
        <v>105</v>
      </c>
      <c r="C99" t="s">
        <v>250</v>
      </c>
      <c r="D99">
        <v>305</v>
      </c>
      <c r="E99">
        <v>56.7</v>
      </c>
      <c r="F99">
        <v>196</v>
      </c>
      <c r="G99">
        <v>29</v>
      </c>
      <c r="H99">
        <v>9.51</v>
      </c>
      <c r="I99" s="3">
        <f>Table13[[#This Row],[Bounce Rate]]/100</f>
        <v>0.56700000000000006</v>
      </c>
      <c r="J99" s="3">
        <f>Table13[[#This Row],[Conversion Rate ]]/100</f>
        <v>9.5100000000000004E-2</v>
      </c>
      <c r="K99" s="5">
        <f>Table13[[#This Row],[Avg Session Duration (sec)]]/60</f>
        <v>3.2666666666666666</v>
      </c>
    </row>
    <row r="100" spans="1:11" x14ac:dyDescent="0.25">
      <c r="A100" s="6">
        <v>45756</v>
      </c>
      <c r="B100" s="7" t="s">
        <v>106</v>
      </c>
      <c r="C100" t="s">
        <v>247</v>
      </c>
      <c r="D100">
        <v>370</v>
      </c>
      <c r="E100">
        <v>40.07</v>
      </c>
      <c r="F100">
        <v>281</v>
      </c>
      <c r="G100">
        <v>5</v>
      </c>
      <c r="H100">
        <v>1.35</v>
      </c>
      <c r="I100" s="3">
        <f>Table13[[#This Row],[Bounce Rate]]/100</f>
        <v>0.4007</v>
      </c>
      <c r="J100" s="3">
        <f>Table13[[#This Row],[Conversion Rate ]]/100</f>
        <v>1.3500000000000002E-2</v>
      </c>
      <c r="K100" s="5">
        <f>Table13[[#This Row],[Avg Session Duration (sec)]]/60</f>
        <v>4.6833333333333336</v>
      </c>
    </row>
    <row r="101" spans="1:11" x14ac:dyDescent="0.25">
      <c r="A101" s="6">
        <v>45757</v>
      </c>
      <c r="B101" s="7" t="s">
        <v>107</v>
      </c>
      <c r="C101" t="s">
        <v>250</v>
      </c>
      <c r="D101">
        <v>78</v>
      </c>
      <c r="E101">
        <v>45.62</v>
      </c>
      <c r="F101">
        <v>329</v>
      </c>
      <c r="G101">
        <v>36</v>
      </c>
      <c r="H101">
        <v>46.15</v>
      </c>
      <c r="I101" s="3">
        <f>Table13[[#This Row],[Bounce Rate]]/100</f>
        <v>0.45619999999999999</v>
      </c>
      <c r="J101" s="3">
        <f>Table13[[#This Row],[Conversion Rate ]]/100</f>
        <v>0.46149999999999997</v>
      </c>
      <c r="K101" s="5">
        <f>Table13[[#This Row],[Avg Session Duration (sec)]]/60</f>
        <v>5.4833333333333334</v>
      </c>
    </row>
    <row r="102" spans="1:11" x14ac:dyDescent="0.25">
      <c r="A102" s="6">
        <v>45758</v>
      </c>
      <c r="B102" s="7" t="s">
        <v>108</v>
      </c>
      <c r="C102" t="s">
        <v>247</v>
      </c>
      <c r="D102">
        <v>57</v>
      </c>
      <c r="E102">
        <v>67.27</v>
      </c>
      <c r="F102">
        <v>299</v>
      </c>
      <c r="G102">
        <v>28</v>
      </c>
      <c r="H102">
        <v>49.12</v>
      </c>
      <c r="I102" s="3">
        <f>Table13[[#This Row],[Bounce Rate]]/100</f>
        <v>0.67269999999999996</v>
      </c>
      <c r="J102" s="3">
        <f>Table13[[#This Row],[Conversion Rate ]]/100</f>
        <v>0.49119999999999997</v>
      </c>
      <c r="K102" s="5">
        <f>Table13[[#This Row],[Avg Session Duration (sec)]]/60</f>
        <v>4.9833333333333334</v>
      </c>
    </row>
    <row r="103" spans="1:11" x14ac:dyDescent="0.25">
      <c r="A103" s="6">
        <v>45759</v>
      </c>
      <c r="B103" s="7" t="s">
        <v>109</v>
      </c>
      <c r="C103" t="s">
        <v>249</v>
      </c>
      <c r="D103">
        <v>396</v>
      </c>
      <c r="E103">
        <v>28.23</v>
      </c>
      <c r="F103">
        <v>99</v>
      </c>
      <c r="G103">
        <v>37</v>
      </c>
      <c r="H103">
        <v>9.34</v>
      </c>
      <c r="I103" s="3">
        <f>Table13[[#This Row],[Bounce Rate]]/100</f>
        <v>0.2823</v>
      </c>
      <c r="J103" s="3">
        <f>Table13[[#This Row],[Conversion Rate ]]/100</f>
        <v>9.3399999999999997E-2</v>
      </c>
      <c r="K103" s="5">
        <f>Table13[[#This Row],[Avg Session Duration (sec)]]/60</f>
        <v>1.65</v>
      </c>
    </row>
    <row r="104" spans="1:11" x14ac:dyDescent="0.25">
      <c r="A104" s="6">
        <v>45760</v>
      </c>
      <c r="B104" s="7" t="s">
        <v>110</v>
      </c>
      <c r="C104" t="s">
        <v>248</v>
      </c>
      <c r="D104">
        <v>183</v>
      </c>
      <c r="E104">
        <v>45.45</v>
      </c>
      <c r="F104">
        <v>295</v>
      </c>
      <c r="G104">
        <v>40</v>
      </c>
      <c r="H104">
        <v>21.86</v>
      </c>
      <c r="I104" s="3">
        <f>Table13[[#This Row],[Bounce Rate]]/100</f>
        <v>0.45450000000000002</v>
      </c>
      <c r="J104" s="3">
        <f>Table13[[#This Row],[Conversion Rate ]]/100</f>
        <v>0.21859999999999999</v>
      </c>
      <c r="K104" s="5">
        <f>Table13[[#This Row],[Avg Session Duration (sec)]]/60</f>
        <v>4.916666666666667</v>
      </c>
    </row>
    <row r="105" spans="1:11" x14ac:dyDescent="0.25">
      <c r="A105" s="6">
        <v>45761</v>
      </c>
      <c r="B105" s="7" t="s">
        <v>111</v>
      </c>
      <c r="C105" t="s">
        <v>249</v>
      </c>
      <c r="D105">
        <v>382</v>
      </c>
      <c r="E105">
        <v>25.68</v>
      </c>
      <c r="F105">
        <v>162</v>
      </c>
      <c r="G105">
        <v>27</v>
      </c>
      <c r="H105">
        <v>7.07</v>
      </c>
      <c r="I105" s="3">
        <f>Table13[[#This Row],[Bounce Rate]]/100</f>
        <v>0.25679999999999997</v>
      </c>
      <c r="J105" s="3">
        <f>Table13[[#This Row],[Conversion Rate ]]/100</f>
        <v>7.0699999999999999E-2</v>
      </c>
      <c r="K105" s="5">
        <f>Table13[[#This Row],[Avg Session Duration (sec)]]/60</f>
        <v>2.7</v>
      </c>
    </row>
    <row r="106" spans="1:11" x14ac:dyDescent="0.25">
      <c r="A106" s="6">
        <v>45762</v>
      </c>
      <c r="B106" s="7" t="s">
        <v>112</v>
      </c>
      <c r="C106" t="s">
        <v>252</v>
      </c>
      <c r="D106">
        <v>263</v>
      </c>
      <c r="E106">
        <v>48.9</v>
      </c>
      <c r="F106">
        <v>89</v>
      </c>
      <c r="G106">
        <v>10</v>
      </c>
      <c r="H106">
        <v>3.8</v>
      </c>
      <c r="I106" s="3">
        <f>Table13[[#This Row],[Bounce Rate]]/100</f>
        <v>0.48899999999999999</v>
      </c>
      <c r="J106" s="3">
        <f>Table13[[#This Row],[Conversion Rate ]]/100</f>
        <v>3.7999999999999999E-2</v>
      </c>
      <c r="K106" s="5">
        <f>Table13[[#This Row],[Avg Session Duration (sec)]]/60</f>
        <v>1.4833333333333334</v>
      </c>
    </row>
    <row r="107" spans="1:11" x14ac:dyDescent="0.25">
      <c r="A107" s="6">
        <v>45763</v>
      </c>
      <c r="B107" s="7" t="s">
        <v>113</v>
      </c>
      <c r="C107" t="s">
        <v>250</v>
      </c>
      <c r="D107">
        <v>139</v>
      </c>
      <c r="E107">
        <v>57.53</v>
      </c>
      <c r="F107">
        <v>285</v>
      </c>
      <c r="G107">
        <v>27</v>
      </c>
      <c r="H107">
        <v>19.420000000000002</v>
      </c>
      <c r="I107" s="3">
        <f>Table13[[#This Row],[Bounce Rate]]/100</f>
        <v>0.57530000000000003</v>
      </c>
      <c r="J107" s="3">
        <f>Table13[[#This Row],[Conversion Rate ]]/100</f>
        <v>0.19420000000000001</v>
      </c>
      <c r="K107" s="5">
        <f>Table13[[#This Row],[Avg Session Duration (sec)]]/60</f>
        <v>4.75</v>
      </c>
    </row>
    <row r="108" spans="1:11" x14ac:dyDescent="0.25">
      <c r="A108" s="6">
        <v>45764</v>
      </c>
      <c r="B108" s="7" t="s">
        <v>114</v>
      </c>
      <c r="C108" t="s">
        <v>248</v>
      </c>
      <c r="D108">
        <v>428</v>
      </c>
      <c r="E108">
        <v>61.29</v>
      </c>
      <c r="F108">
        <v>72</v>
      </c>
      <c r="G108">
        <v>30</v>
      </c>
      <c r="H108">
        <v>7.01</v>
      </c>
      <c r="I108" s="3">
        <f>Table13[[#This Row],[Bounce Rate]]/100</f>
        <v>0.6129</v>
      </c>
      <c r="J108" s="3">
        <f>Table13[[#This Row],[Conversion Rate ]]/100</f>
        <v>7.0099999999999996E-2</v>
      </c>
      <c r="K108" s="5">
        <f>Table13[[#This Row],[Avg Session Duration (sec)]]/60</f>
        <v>1.2</v>
      </c>
    </row>
    <row r="109" spans="1:11" x14ac:dyDescent="0.25">
      <c r="A109" s="6">
        <v>45765</v>
      </c>
      <c r="B109" s="7" t="s">
        <v>115</v>
      </c>
      <c r="C109" t="s">
        <v>248</v>
      </c>
      <c r="D109">
        <v>71</v>
      </c>
      <c r="E109">
        <v>40.590000000000003</v>
      </c>
      <c r="F109">
        <v>117</v>
      </c>
      <c r="G109">
        <v>43</v>
      </c>
      <c r="H109">
        <v>60.56</v>
      </c>
      <c r="I109" s="3">
        <f>Table13[[#This Row],[Bounce Rate]]/100</f>
        <v>0.40590000000000004</v>
      </c>
      <c r="J109" s="3">
        <f>Table13[[#This Row],[Conversion Rate ]]/100</f>
        <v>0.60560000000000003</v>
      </c>
      <c r="K109" s="5">
        <f>Table13[[#This Row],[Avg Session Duration (sec)]]/60</f>
        <v>1.95</v>
      </c>
    </row>
    <row r="110" spans="1:11" x14ac:dyDescent="0.25">
      <c r="A110" s="6">
        <v>45766</v>
      </c>
      <c r="B110" s="7" t="s">
        <v>116</v>
      </c>
      <c r="C110" t="s">
        <v>247</v>
      </c>
      <c r="D110">
        <v>157</v>
      </c>
      <c r="E110">
        <v>57.2</v>
      </c>
      <c r="F110">
        <v>228</v>
      </c>
      <c r="G110">
        <v>20</v>
      </c>
      <c r="H110">
        <v>12.74</v>
      </c>
      <c r="I110" s="3">
        <f>Table13[[#This Row],[Bounce Rate]]/100</f>
        <v>0.57200000000000006</v>
      </c>
      <c r="J110" s="3">
        <f>Table13[[#This Row],[Conversion Rate ]]/100</f>
        <v>0.12740000000000001</v>
      </c>
      <c r="K110" s="5">
        <f>Table13[[#This Row],[Avg Session Duration (sec)]]/60</f>
        <v>3.8</v>
      </c>
    </row>
    <row r="111" spans="1:11" x14ac:dyDescent="0.25">
      <c r="A111" s="6">
        <v>45767</v>
      </c>
      <c r="B111" s="7" t="s">
        <v>117</v>
      </c>
      <c r="C111" t="s">
        <v>249</v>
      </c>
      <c r="D111">
        <v>426</v>
      </c>
      <c r="E111">
        <v>62.46</v>
      </c>
      <c r="F111">
        <v>180</v>
      </c>
      <c r="G111">
        <v>5</v>
      </c>
      <c r="H111">
        <v>1.17</v>
      </c>
      <c r="I111" s="3">
        <f>Table13[[#This Row],[Bounce Rate]]/100</f>
        <v>0.62460000000000004</v>
      </c>
      <c r="J111" s="3">
        <f>Table13[[#This Row],[Conversion Rate ]]/100</f>
        <v>1.1699999999999999E-2</v>
      </c>
      <c r="K111" s="5">
        <f>Table13[[#This Row],[Avg Session Duration (sec)]]/60</f>
        <v>3</v>
      </c>
    </row>
    <row r="112" spans="1:11" x14ac:dyDescent="0.25">
      <c r="A112" s="6">
        <v>45768</v>
      </c>
      <c r="B112" s="7" t="s">
        <v>118</v>
      </c>
      <c r="C112" t="s">
        <v>252</v>
      </c>
      <c r="D112">
        <v>215</v>
      </c>
      <c r="E112">
        <v>66.22</v>
      </c>
      <c r="F112">
        <v>125</v>
      </c>
      <c r="G112">
        <v>38</v>
      </c>
      <c r="H112">
        <v>17.670000000000002</v>
      </c>
      <c r="I112" s="3">
        <f>Table13[[#This Row],[Bounce Rate]]/100</f>
        <v>0.66220000000000001</v>
      </c>
      <c r="J112" s="3">
        <f>Table13[[#This Row],[Conversion Rate ]]/100</f>
        <v>0.17670000000000002</v>
      </c>
      <c r="K112" s="5">
        <f>Table13[[#This Row],[Avg Session Duration (sec)]]/60</f>
        <v>2.0833333333333335</v>
      </c>
    </row>
    <row r="113" spans="1:11" x14ac:dyDescent="0.25">
      <c r="A113" s="6">
        <v>45769</v>
      </c>
      <c r="B113" s="7" t="s">
        <v>119</v>
      </c>
      <c r="C113" t="s">
        <v>247</v>
      </c>
      <c r="D113">
        <v>432</v>
      </c>
      <c r="E113">
        <v>38.06</v>
      </c>
      <c r="F113">
        <v>145</v>
      </c>
      <c r="G113">
        <v>29</v>
      </c>
      <c r="H113">
        <v>6.71</v>
      </c>
      <c r="I113" s="3">
        <f>Table13[[#This Row],[Bounce Rate]]/100</f>
        <v>0.38060000000000005</v>
      </c>
      <c r="J113" s="3">
        <f>Table13[[#This Row],[Conversion Rate ]]/100</f>
        <v>6.7099999999999993E-2</v>
      </c>
      <c r="K113" s="5">
        <f>Table13[[#This Row],[Avg Session Duration (sec)]]/60</f>
        <v>2.4166666666666665</v>
      </c>
    </row>
    <row r="114" spans="1:11" x14ac:dyDescent="0.25">
      <c r="A114" s="6">
        <v>45770</v>
      </c>
      <c r="B114" s="7" t="s">
        <v>120</v>
      </c>
      <c r="C114" t="s">
        <v>252</v>
      </c>
      <c r="D114">
        <v>463</v>
      </c>
      <c r="E114">
        <v>61.55</v>
      </c>
      <c r="F114">
        <v>279</v>
      </c>
      <c r="G114">
        <v>42</v>
      </c>
      <c r="H114">
        <v>9.07</v>
      </c>
      <c r="I114" s="3">
        <f>Table13[[#This Row],[Bounce Rate]]/100</f>
        <v>0.61549999999999994</v>
      </c>
      <c r="J114" s="3">
        <f>Table13[[#This Row],[Conversion Rate ]]/100</f>
        <v>9.0700000000000003E-2</v>
      </c>
      <c r="K114" s="5">
        <f>Table13[[#This Row],[Avg Session Duration (sec)]]/60</f>
        <v>4.6500000000000004</v>
      </c>
    </row>
    <row r="115" spans="1:11" x14ac:dyDescent="0.25">
      <c r="A115" s="6">
        <v>45771</v>
      </c>
      <c r="B115" s="7" t="s">
        <v>121</v>
      </c>
      <c r="C115" t="s">
        <v>252</v>
      </c>
      <c r="D115">
        <v>200</v>
      </c>
      <c r="E115">
        <v>39.619999999999997</v>
      </c>
      <c r="F115">
        <v>101</v>
      </c>
      <c r="G115">
        <v>16</v>
      </c>
      <c r="H115">
        <v>8</v>
      </c>
      <c r="I115" s="3">
        <f>Table13[[#This Row],[Bounce Rate]]/100</f>
        <v>0.3962</v>
      </c>
      <c r="J115" s="3">
        <f>Table13[[#This Row],[Conversion Rate ]]/100</f>
        <v>0.08</v>
      </c>
      <c r="K115" s="5">
        <f>Table13[[#This Row],[Avg Session Duration (sec)]]/60</f>
        <v>1.6833333333333333</v>
      </c>
    </row>
    <row r="116" spans="1:11" x14ac:dyDescent="0.25">
      <c r="A116" s="6">
        <v>45772</v>
      </c>
      <c r="B116" s="7" t="s">
        <v>122</v>
      </c>
      <c r="C116" t="s">
        <v>248</v>
      </c>
      <c r="D116">
        <v>82</v>
      </c>
      <c r="E116">
        <v>26.47</v>
      </c>
      <c r="F116">
        <v>280</v>
      </c>
      <c r="G116">
        <v>29</v>
      </c>
      <c r="H116">
        <v>35.369999999999997</v>
      </c>
      <c r="I116" s="3">
        <f>Table13[[#This Row],[Bounce Rate]]/100</f>
        <v>0.26469999999999999</v>
      </c>
      <c r="J116" s="3">
        <f>Table13[[#This Row],[Conversion Rate ]]/100</f>
        <v>0.35369999999999996</v>
      </c>
      <c r="K116" s="5">
        <f>Table13[[#This Row],[Avg Session Duration (sec)]]/60</f>
        <v>4.666666666666667</v>
      </c>
    </row>
    <row r="117" spans="1:11" x14ac:dyDescent="0.25">
      <c r="A117" s="6">
        <v>45773</v>
      </c>
      <c r="B117" s="7" t="s">
        <v>123</v>
      </c>
      <c r="C117" t="s">
        <v>251</v>
      </c>
      <c r="D117">
        <v>520</v>
      </c>
      <c r="E117">
        <v>60.69</v>
      </c>
      <c r="F117">
        <v>157</v>
      </c>
      <c r="G117">
        <v>16</v>
      </c>
      <c r="H117">
        <v>3.08</v>
      </c>
      <c r="I117" s="3">
        <f>Table13[[#This Row],[Bounce Rate]]/100</f>
        <v>0.6069</v>
      </c>
      <c r="J117" s="3">
        <f>Table13[[#This Row],[Conversion Rate ]]/100</f>
        <v>3.0800000000000001E-2</v>
      </c>
      <c r="K117" s="5">
        <f>Table13[[#This Row],[Avg Session Duration (sec)]]/60</f>
        <v>2.6166666666666667</v>
      </c>
    </row>
    <row r="118" spans="1:11" x14ac:dyDescent="0.25">
      <c r="A118" s="6">
        <v>45774</v>
      </c>
      <c r="B118" s="7" t="s">
        <v>124</v>
      </c>
      <c r="C118" t="s">
        <v>247</v>
      </c>
      <c r="D118">
        <v>60</v>
      </c>
      <c r="E118">
        <v>29.88</v>
      </c>
      <c r="F118">
        <v>328</v>
      </c>
      <c r="G118">
        <v>25</v>
      </c>
      <c r="H118">
        <v>41.67</v>
      </c>
      <c r="I118" s="3">
        <f>Table13[[#This Row],[Bounce Rate]]/100</f>
        <v>0.29880000000000001</v>
      </c>
      <c r="J118" s="3">
        <f>Table13[[#This Row],[Conversion Rate ]]/100</f>
        <v>0.41670000000000001</v>
      </c>
      <c r="K118" s="5">
        <f>Table13[[#This Row],[Avg Session Duration (sec)]]/60</f>
        <v>5.4666666666666668</v>
      </c>
    </row>
    <row r="119" spans="1:11" x14ac:dyDescent="0.25">
      <c r="A119" s="6">
        <v>45775</v>
      </c>
      <c r="B119" s="7" t="s">
        <v>125</v>
      </c>
      <c r="C119" t="s">
        <v>247</v>
      </c>
      <c r="D119">
        <v>383</v>
      </c>
      <c r="E119">
        <v>36.96</v>
      </c>
      <c r="F119">
        <v>194</v>
      </c>
      <c r="G119">
        <v>30</v>
      </c>
      <c r="H119">
        <v>7.83</v>
      </c>
      <c r="I119" s="3">
        <f>Table13[[#This Row],[Bounce Rate]]/100</f>
        <v>0.36959999999999998</v>
      </c>
      <c r="J119" s="3">
        <f>Table13[[#This Row],[Conversion Rate ]]/100</f>
        <v>7.8299999999999995E-2</v>
      </c>
      <c r="K119" s="5">
        <f>Table13[[#This Row],[Avg Session Duration (sec)]]/60</f>
        <v>3.2333333333333334</v>
      </c>
    </row>
    <row r="120" spans="1:11" x14ac:dyDescent="0.25">
      <c r="A120" s="6">
        <v>45776</v>
      </c>
      <c r="B120" s="7" t="s">
        <v>126</v>
      </c>
      <c r="C120" t="s">
        <v>250</v>
      </c>
      <c r="D120">
        <v>409</v>
      </c>
      <c r="E120">
        <v>26.55</v>
      </c>
      <c r="F120">
        <v>183</v>
      </c>
      <c r="G120">
        <v>2</v>
      </c>
      <c r="H120">
        <v>0.49</v>
      </c>
      <c r="I120" s="3">
        <f>Table13[[#This Row],[Bounce Rate]]/100</f>
        <v>0.26550000000000001</v>
      </c>
      <c r="J120" s="3">
        <f>Table13[[#This Row],[Conversion Rate ]]/100</f>
        <v>4.8999999999999998E-3</v>
      </c>
      <c r="K120" s="5">
        <f>Table13[[#This Row],[Avg Session Duration (sec)]]/60</f>
        <v>3.05</v>
      </c>
    </row>
    <row r="121" spans="1:11" x14ac:dyDescent="0.25">
      <c r="A121" s="6">
        <v>45777</v>
      </c>
      <c r="B121" s="7" t="s">
        <v>127</v>
      </c>
      <c r="C121" t="s">
        <v>247</v>
      </c>
      <c r="D121">
        <v>514</v>
      </c>
      <c r="E121">
        <v>51.96</v>
      </c>
      <c r="F121">
        <v>114</v>
      </c>
      <c r="G121">
        <v>20</v>
      </c>
      <c r="H121">
        <v>3.89</v>
      </c>
      <c r="I121" s="3">
        <f>Table13[[#This Row],[Bounce Rate]]/100</f>
        <v>0.51960000000000006</v>
      </c>
      <c r="J121" s="3">
        <f>Table13[[#This Row],[Conversion Rate ]]/100</f>
        <v>3.8900000000000004E-2</v>
      </c>
      <c r="K121" s="5">
        <f>Table13[[#This Row],[Avg Session Duration (sec)]]/60</f>
        <v>1.9</v>
      </c>
    </row>
    <row r="122" spans="1:11" x14ac:dyDescent="0.25">
      <c r="A122" s="6">
        <v>45778</v>
      </c>
      <c r="B122" s="7" t="s">
        <v>128</v>
      </c>
      <c r="C122" t="s">
        <v>247</v>
      </c>
      <c r="D122">
        <v>562</v>
      </c>
      <c r="E122">
        <v>30.4</v>
      </c>
      <c r="F122">
        <v>297</v>
      </c>
      <c r="G122">
        <v>42</v>
      </c>
      <c r="H122">
        <v>7.47</v>
      </c>
      <c r="I122" s="3">
        <f>Table13[[#This Row],[Bounce Rate]]/100</f>
        <v>0.30399999999999999</v>
      </c>
      <c r="J122" s="3">
        <f>Table13[[#This Row],[Conversion Rate ]]/100</f>
        <v>7.4700000000000003E-2</v>
      </c>
      <c r="K122" s="5">
        <f>Table13[[#This Row],[Avg Session Duration (sec)]]/60</f>
        <v>4.95</v>
      </c>
    </row>
    <row r="123" spans="1:11" x14ac:dyDescent="0.25">
      <c r="A123" s="6">
        <v>45779</v>
      </c>
      <c r="B123" s="7" t="s">
        <v>129</v>
      </c>
      <c r="C123" t="s">
        <v>252</v>
      </c>
      <c r="D123">
        <v>132</v>
      </c>
      <c r="E123">
        <v>43.98</v>
      </c>
      <c r="F123">
        <v>213</v>
      </c>
      <c r="G123">
        <v>33</v>
      </c>
      <c r="H123">
        <v>25</v>
      </c>
      <c r="I123" s="3">
        <f>Table13[[#This Row],[Bounce Rate]]/100</f>
        <v>0.43979999999999997</v>
      </c>
      <c r="J123" s="3">
        <f>Table13[[#This Row],[Conversion Rate ]]/100</f>
        <v>0.25</v>
      </c>
      <c r="K123" s="5">
        <f>Table13[[#This Row],[Avg Session Duration (sec)]]/60</f>
        <v>3.55</v>
      </c>
    </row>
    <row r="124" spans="1:11" x14ac:dyDescent="0.25">
      <c r="A124" s="6">
        <v>45780</v>
      </c>
      <c r="B124" s="7" t="s">
        <v>130</v>
      </c>
      <c r="C124" t="s">
        <v>247</v>
      </c>
      <c r="D124">
        <v>308</v>
      </c>
      <c r="E124">
        <v>35.36</v>
      </c>
      <c r="F124">
        <v>274</v>
      </c>
      <c r="G124">
        <v>19</v>
      </c>
      <c r="H124">
        <v>6.17</v>
      </c>
      <c r="I124" s="3">
        <f>Table13[[#This Row],[Bounce Rate]]/100</f>
        <v>0.35359999999999997</v>
      </c>
      <c r="J124" s="3">
        <f>Table13[[#This Row],[Conversion Rate ]]/100</f>
        <v>6.1699999999999998E-2</v>
      </c>
      <c r="K124" s="5">
        <f>Table13[[#This Row],[Avg Session Duration (sec)]]/60</f>
        <v>4.5666666666666664</v>
      </c>
    </row>
    <row r="125" spans="1:11" x14ac:dyDescent="0.25">
      <c r="A125" s="6">
        <v>45781</v>
      </c>
      <c r="B125" s="7" t="s">
        <v>131</v>
      </c>
      <c r="C125" t="s">
        <v>248</v>
      </c>
      <c r="D125">
        <v>64</v>
      </c>
      <c r="E125">
        <v>55.05</v>
      </c>
      <c r="F125">
        <v>269</v>
      </c>
      <c r="G125">
        <v>4</v>
      </c>
      <c r="H125">
        <v>6.25</v>
      </c>
      <c r="I125" s="3">
        <f>Table13[[#This Row],[Bounce Rate]]/100</f>
        <v>0.55049999999999999</v>
      </c>
      <c r="J125" s="3">
        <f>Table13[[#This Row],[Conversion Rate ]]/100</f>
        <v>6.25E-2</v>
      </c>
      <c r="K125" s="5">
        <f>Table13[[#This Row],[Avg Session Duration (sec)]]/60</f>
        <v>4.4833333333333334</v>
      </c>
    </row>
    <row r="126" spans="1:11" x14ac:dyDescent="0.25">
      <c r="A126" s="6">
        <v>45782</v>
      </c>
      <c r="B126" s="7" t="s">
        <v>132</v>
      </c>
      <c r="C126" t="s">
        <v>248</v>
      </c>
      <c r="D126">
        <v>372</v>
      </c>
      <c r="E126">
        <v>43.87</v>
      </c>
      <c r="F126">
        <v>108</v>
      </c>
      <c r="G126">
        <v>33</v>
      </c>
      <c r="H126">
        <v>8.8699999999999992</v>
      </c>
      <c r="I126" s="3">
        <f>Table13[[#This Row],[Bounce Rate]]/100</f>
        <v>0.43869999999999998</v>
      </c>
      <c r="J126" s="3">
        <f>Table13[[#This Row],[Conversion Rate ]]/100</f>
        <v>8.8699999999999987E-2</v>
      </c>
      <c r="K126" s="5">
        <f>Table13[[#This Row],[Avg Session Duration (sec)]]/60</f>
        <v>1.8</v>
      </c>
    </row>
    <row r="127" spans="1:11" x14ac:dyDescent="0.25">
      <c r="A127" s="6">
        <v>45783</v>
      </c>
      <c r="B127" s="7" t="s">
        <v>133</v>
      </c>
      <c r="C127" t="s">
        <v>247</v>
      </c>
      <c r="D127">
        <v>337</v>
      </c>
      <c r="E127">
        <v>65.16</v>
      </c>
      <c r="F127">
        <v>226</v>
      </c>
      <c r="G127">
        <v>25</v>
      </c>
      <c r="H127">
        <v>7.42</v>
      </c>
      <c r="I127" s="3">
        <f>Table13[[#This Row],[Bounce Rate]]/100</f>
        <v>0.65159999999999996</v>
      </c>
      <c r="J127" s="3">
        <f>Table13[[#This Row],[Conversion Rate ]]/100</f>
        <v>7.4200000000000002E-2</v>
      </c>
      <c r="K127" s="5">
        <f>Table13[[#This Row],[Avg Session Duration (sec)]]/60</f>
        <v>3.7666666666666666</v>
      </c>
    </row>
    <row r="128" spans="1:11" x14ac:dyDescent="0.25">
      <c r="A128" s="6">
        <v>45784</v>
      </c>
      <c r="B128" s="7" t="s">
        <v>134</v>
      </c>
      <c r="C128" t="s">
        <v>252</v>
      </c>
      <c r="D128">
        <v>127</v>
      </c>
      <c r="E128">
        <v>36.86</v>
      </c>
      <c r="F128">
        <v>242</v>
      </c>
      <c r="G128">
        <v>36</v>
      </c>
      <c r="H128">
        <v>28.35</v>
      </c>
      <c r="I128" s="3">
        <f>Table13[[#This Row],[Bounce Rate]]/100</f>
        <v>0.36859999999999998</v>
      </c>
      <c r="J128" s="3">
        <f>Table13[[#This Row],[Conversion Rate ]]/100</f>
        <v>0.28350000000000003</v>
      </c>
      <c r="K128" s="5">
        <f>Table13[[#This Row],[Avg Session Duration (sec)]]/60</f>
        <v>4.0333333333333332</v>
      </c>
    </row>
    <row r="129" spans="1:11" x14ac:dyDescent="0.25">
      <c r="A129" s="6">
        <v>45785</v>
      </c>
      <c r="B129" s="7" t="s">
        <v>135</v>
      </c>
      <c r="C129" t="s">
        <v>248</v>
      </c>
      <c r="D129">
        <v>526</v>
      </c>
      <c r="E129">
        <v>51.04</v>
      </c>
      <c r="F129">
        <v>281</v>
      </c>
      <c r="G129">
        <v>1</v>
      </c>
      <c r="H129">
        <v>0.19</v>
      </c>
      <c r="I129" s="3">
        <f>Table13[[#This Row],[Bounce Rate]]/100</f>
        <v>0.51039999999999996</v>
      </c>
      <c r="J129" s="3">
        <f>Table13[[#This Row],[Conversion Rate ]]/100</f>
        <v>1.9E-3</v>
      </c>
      <c r="K129" s="5">
        <f>Table13[[#This Row],[Avg Session Duration (sec)]]/60</f>
        <v>4.6833333333333336</v>
      </c>
    </row>
    <row r="130" spans="1:11" x14ac:dyDescent="0.25">
      <c r="A130" s="6">
        <v>45786</v>
      </c>
      <c r="B130" s="7" t="s">
        <v>136</v>
      </c>
      <c r="C130" t="s">
        <v>251</v>
      </c>
      <c r="D130">
        <v>219</v>
      </c>
      <c r="E130">
        <v>29.39</v>
      </c>
      <c r="F130">
        <v>156</v>
      </c>
      <c r="G130">
        <v>16</v>
      </c>
      <c r="H130">
        <v>7.31</v>
      </c>
      <c r="I130" s="3">
        <f>Table13[[#This Row],[Bounce Rate]]/100</f>
        <v>0.29389999999999999</v>
      </c>
      <c r="J130" s="3">
        <f>Table13[[#This Row],[Conversion Rate ]]/100</f>
        <v>7.3099999999999998E-2</v>
      </c>
      <c r="K130" s="5">
        <f>Table13[[#This Row],[Avg Session Duration (sec)]]/60</f>
        <v>2.6</v>
      </c>
    </row>
    <row r="131" spans="1:11" x14ac:dyDescent="0.25">
      <c r="A131" s="6">
        <v>45787</v>
      </c>
      <c r="B131" s="7" t="s">
        <v>137</v>
      </c>
      <c r="C131" t="s">
        <v>249</v>
      </c>
      <c r="D131">
        <v>204</v>
      </c>
      <c r="E131">
        <v>52.45</v>
      </c>
      <c r="F131">
        <v>130</v>
      </c>
      <c r="G131">
        <v>25</v>
      </c>
      <c r="H131">
        <v>12.25</v>
      </c>
      <c r="I131" s="3">
        <f>Table13[[#This Row],[Bounce Rate]]/100</f>
        <v>0.52450000000000008</v>
      </c>
      <c r="J131" s="3">
        <f>Table13[[#This Row],[Conversion Rate ]]/100</f>
        <v>0.1225</v>
      </c>
      <c r="K131" s="5">
        <f>Table13[[#This Row],[Avg Session Duration (sec)]]/60</f>
        <v>2.1666666666666665</v>
      </c>
    </row>
    <row r="132" spans="1:11" x14ac:dyDescent="0.25">
      <c r="A132" s="6">
        <v>45788</v>
      </c>
      <c r="B132" s="7" t="s">
        <v>138</v>
      </c>
      <c r="C132" t="s">
        <v>247</v>
      </c>
      <c r="D132">
        <v>390</v>
      </c>
      <c r="E132">
        <v>41.1</v>
      </c>
      <c r="F132">
        <v>184</v>
      </c>
      <c r="G132">
        <v>35</v>
      </c>
      <c r="H132">
        <v>8.9700000000000006</v>
      </c>
      <c r="I132" s="3">
        <f>Table13[[#This Row],[Bounce Rate]]/100</f>
        <v>0.41100000000000003</v>
      </c>
      <c r="J132" s="3">
        <f>Table13[[#This Row],[Conversion Rate ]]/100</f>
        <v>8.9700000000000002E-2</v>
      </c>
      <c r="K132" s="5">
        <f>Table13[[#This Row],[Avg Session Duration (sec)]]/60</f>
        <v>3.0666666666666669</v>
      </c>
    </row>
    <row r="133" spans="1:11" x14ac:dyDescent="0.25">
      <c r="A133" s="6">
        <v>45789</v>
      </c>
      <c r="B133" s="7" t="s">
        <v>139</v>
      </c>
      <c r="C133" t="s">
        <v>248</v>
      </c>
      <c r="D133">
        <v>585</v>
      </c>
      <c r="E133">
        <v>64.040000000000006</v>
      </c>
      <c r="F133">
        <v>268</v>
      </c>
      <c r="G133">
        <v>11</v>
      </c>
      <c r="H133">
        <v>1.88</v>
      </c>
      <c r="I133" s="3">
        <f>Table13[[#This Row],[Bounce Rate]]/100</f>
        <v>0.64040000000000008</v>
      </c>
      <c r="J133" s="3">
        <f>Table13[[#This Row],[Conversion Rate ]]/100</f>
        <v>1.8799999999999997E-2</v>
      </c>
      <c r="K133" s="5">
        <f>Table13[[#This Row],[Avg Session Duration (sec)]]/60</f>
        <v>4.4666666666666668</v>
      </c>
    </row>
    <row r="134" spans="1:11" x14ac:dyDescent="0.25">
      <c r="A134" s="6">
        <v>45790</v>
      </c>
      <c r="B134" s="7" t="s">
        <v>140</v>
      </c>
      <c r="C134" t="s">
        <v>251</v>
      </c>
      <c r="D134">
        <v>398</v>
      </c>
      <c r="E134">
        <v>39.33</v>
      </c>
      <c r="F134">
        <v>244</v>
      </c>
      <c r="G134">
        <v>24</v>
      </c>
      <c r="H134">
        <v>6.03</v>
      </c>
      <c r="I134" s="3">
        <f>Table13[[#This Row],[Bounce Rate]]/100</f>
        <v>0.39329999999999998</v>
      </c>
      <c r="J134" s="3">
        <f>Table13[[#This Row],[Conversion Rate ]]/100</f>
        <v>6.0299999999999999E-2</v>
      </c>
      <c r="K134" s="5">
        <f>Table13[[#This Row],[Avg Session Duration (sec)]]/60</f>
        <v>4.0666666666666664</v>
      </c>
    </row>
    <row r="135" spans="1:11" x14ac:dyDescent="0.25">
      <c r="A135" s="6">
        <v>45791</v>
      </c>
      <c r="B135" s="7" t="s">
        <v>141</v>
      </c>
      <c r="C135" t="s">
        <v>247</v>
      </c>
      <c r="D135">
        <v>555</v>
      </c>
      <c r="E135">
        <v>62.42</v>
      </c>
      <c r="F135">
        <v>330</v>
      </c>
      <c r="G135">
        <v>35</v>
      </c>
      <c r="H135">
        <v>6.31</v>
      </c>
      <c r="I135" s="3">
        <f>Table13[[#This Row],[Bounce Rate]]/100</f>
        <v>0.62419999999999998</v>
      </c>
      <c r="J135" s="3">
        <f>Table13[[#This Row],[Conversion Rate ]]/100</f>
        <v>6.3099999999999989E-2</v>
      </c>
      <c r="K135" s="5">
        <f>Table13[[#This Row],[Avg Session Duration (sec)]]/60</f>
        <v>5.5</v>
      </c>
    </row>
    <row r="136" spans="1:11" x14ac:dyDescent="0.25">
      <c r="A136" s="6">
        <v>45792</v>
      </c>
      <c r="B136" s="7" t="s">
        <v>142</v>
      </c>
      <c r="C136" t="s">
        <v>249</v>
      </c>
      <c r="D136">
        <v>97</v>
      </c>
      <c r="E136">
        <v>67.650000000000006</v>
      </c>
      <c r="F136">
        <v>61</v>
      </c>
      <c r="G136">
        <v>21</v>
      </c>
      <c r="H136">
        <v>21.65</v>
      </c>
      <c r="I136" s="3">
        <f>Table13[[#This Row],[Bounce Rate]]/100</f>
        <v>0.6765000000000001</v>
      </c>
      <c r="J136" s="3">
        <f>Table13[[#This Row],[Conversion Rate ]]/100</f>
        <v>0.2165</v>
      </c>
      <c r="K136" s="5">
        <f>Table13[[#This Row],[Avg Session Duration (sec)]]/60</f>
        <v>1.0166666666666666</v>
      </c>
    </row>
    <row r="137" spans="1:11" x14ac:dyDescent="0.25">
      <c r="A137" s="6">
        <v>45793</v>
      </c>
      <c r="B137" s="7" t="s">
        <v>143</v>
      </c>
      <c r="C137" t="s">
        <v>250</v>
      </c>
      <c r="D137">
        <v>477</v>
      </c>
      <c r="E137">
        <v>56.41</v>
      </c>
      <c r="F137">
        <v>90</v>
      </c>
      <c r="G137">
        <v>4</v>
      </c>
      <c r="H137">
        <v>0.84</v>
      </c>
      <c r="I137" s="3">
        <f>Table13[[#This Row],[Bounce Rate]]/100</f>
        <v>0.56409999999999993</v>
      </c>
      <c r="J137" s="3">
        <f>Table13[[#This Row],[Conversion Rate ]]/100</f>
        <v>8.3999999999999995E-3</v>
      </c>
      <c r="K137" s="5">
        <f>Table13[[#This Row],[Avg Session Duration (sec)]]/60</f>
        <v>1.5</v>
      </c>
    </row>
    <row r="138" spans="1:11" x14ac:dyDescent="0.25">
      <c r="A138" s="6">
        <v>45794</v>
      </c>
      <c r="B138" s="7" t="s">
        <v>144</v>
      </c>
      <c r="C138" t="s">
        <v>248</v>
      </c>
      <c r="D138">
        <v>250</v>
      </c>
      <c r="E138">
        <v>46.76</v>
      </c>
      <c r="F138">
        <v>269</v>
      </c>
      <c r="G138">
        <v>14</v>
      </c>
      <c r="H138">
        <v>5.6</v>
      </c>
      <c r="I138" s="3">
        <f>Table13[[#This Row],[Bounce Rate]]/100</f>
        <v>0.46759999999999996</v>
      </c>
      <c r="J138" s="3">
        <f>Table13[[#This Row],[Conversion Rate ]]/100</f>
        <v>5.5999999999999994E-2</v>
      </c>
      <c r="K138" s="5">
        <f>Table13[[#This Row],[Avg Session Duration (sec)]]/60</f>
        <v>4.4833333333333334</v>
      </c>
    </row>
    <row r="139" spans="1:11" x14ac:dyDescent="0.25">
      <c r="A139" s="6">
        <v>45795</v>
      </c>
      <c r="B139" s="7" t="s">
        <v>145</v>
      </c>
      <c r="C139" t="s">
        <v>247</v>
      </c>
      <c r="D139">
        <v>393</v>
      </c>
      <c r="E139">
        <v>36.54</v>
      </c>
      <c r="F139">
        <v>119</v>
      </c>
      <c r="G139">
        <v>27</v>
      </c>
      <c r="H139">
        <v>6.87</v>
      </c>
      <c r="I139" s="3">
        <f>Table13[[#This Row],[Bounce Rate]]/100</f>
        <v>0.3654</v>
      </c>
      <c r="J139" s="3">
        <f>Table13[[#This Row],[Conversion Rate ]]/100</f>
        <v>6.8699999999999997E-2</v>
      </c>
      <c r="K139" s="5">
        <f>Table13[[#This Row],[Avg Session Duration (sec)]]/60</f>
        <v>1.9833333333333334</v>
      </c>
    </row>
    <row r="140" spans="1:11" x14ac:dyDescent="0.25">
      <c r="A140" s="6">
        <v>45796</v>
      </c>
      <c r="B140" s="7" t="s">
        <v>146</v>
      </c>
      <c r="C140" t="s">
        <v>250</v>
      </c>
      <c r="D140">
        <v>431</v>
      </c>
      <c r="E140">
        <v>27.44</v>
      </c>
      <c r="F140">
        <v>175</v>
      </c>
      <c r="G140">
        <v>33</v>
      </c>
      <c r="H140">
        <v>7.66</v>
      </c>
      <c r="I140" s="3">
        <f>Table13[[#This Row],[Bounce Rate]]/100</f>
        <v>0.27440000000000003</v>
      </c>
      <c r="J140" s="3">
        <f>Table13[[#This Row],[Conversion Rate ]]/100</f>
        <v>7.6600000000000001E-2</v>
      </c>
      <c r="K140" s="5">
        <f>Table13[[#This Row],[Avg Session Duration (sec)]]/60</f>
        <v>2.9166666666666665</v>
      </c>
    </row>
    <row r="141" spans="1:11" x14ac:dyDescent="0.25">
      <c r="A141" s="6">
        <v>45797</v>
      </c>
      <c r="B141" s="7" t="s">
        <v>147</v>
      </c>
      <c r="C141" t="s">
        <v>248</v>
      </c>
      <c r="D141">
        <v>589</v>
      </c>
      <c r="E141">
        <v>28.33</v>
      </c>
      <c r="F141">
        <v>143</v>
      </c>
      <c r="G141">
        <v>16</v>
      </c>
      <c r="H141">
        <v>2.72</v>
      </c>
      <c r="I141" s="3">
        <f>Table13[[#This Row],[Bounce Rate]]/100</f>
        <v>0.2833</v>
      </c>
      <c r="J141" s="3">
        <f>Table13[[#This Row],[Conversion Rate ]]/100</f>
        <v>2.7200000000000002E-2</v>
      </c>
      <c r="K141" s="5">
        <f>Table13[[#This Row],[Avg Session Duration (sec)]]/60</f>
        <v>2.3833333333333333</v>
      </c>
    </row>
    <row r="142" spans="1:11" x14ac:dyDescent="0.25">
      <c r="A142" s="6">
        <v>45798</v>
      </c>
      <c r="B142" s="7" t="s">
        <v>148</v>
      </c>
      <c r="C142" t="s">
        <v>252</v>
      </c>
      <c r="D142">
        <v>341</v>
      </c>
      <c r="E142">
        <v>68.790000000000006</v>
      </c>
      <c r="F142">
        <v>166</v>
      </c>
      <c r="G142">
        <v>44</v>
      </c>
      <c r="H142">
        <v>12.9</v>
      </c>
      <c r="I142" s="3">
        <f>Table13[[#This Row],[Bounce Rate]]/100</f>
        <v>0.68790000000000007</v>
      </c>
      <c r="J142" s="3">
        <f>Table13[[#This Row],[Conversion Rate ]]/100</f>
        <v>0.129</v>
      </c>
      <c r="K142" s="5">
        <f>Table13[[#This Row],[Avg Session Duration (sec)]]/60</f>
        <v>2.7666666666666666</v>
      </c>
    </row>
    <row r="143" spans="1:11" x14ac:dyDescent="0.25">
      <c r="A143" s="6">
        <v>45799</v>
      </c>
      <c r="B143" s="7" t="s">
        <v>149</v>
      </c>
      <c r="C143" t="s">
        <v>247</v>
      </c>
      <c r="D143">
        <v>256</v>
      </c>
      <c r="E143">
        <v>43.54</v>
      </c>
      <c r="F143">
        <v>216</v>
      </c>
      <c r="G143">
        <v>2</v>
      </c>
      <c r="H143">
        <v>0.78</v>
      </c>
      <c r="I143" s="3">
        <f>Table13[[#This Row],[Bounce Rate]]/100</f>
        <v>0.43540000000000001</v>
      </c>
      <c r="J143" s="3">
        <f>Table13[[#This Row],[Conversion Rate ]]/100</f>
        <v>7.8000000000000005E-3</v>
      </c>
      <c r="K143" s="5">
        <f>Table13[[#This Row],[Avg Session Duration (sec)]]/60</f>
        <v>3.6</v>
      </c>
    </row>
    <row r="144" spans="1:11" x14ac:dyDescent="0.25">
      <c r="A144" s="6">
        <v>45800</v>
      </c>
      <c r="B144" s="7" t="s">
        <v>150</v>
      </c>
      <c r="C144" t="s">
        <v>247</v>
      </c>
      <c r="D144">
        <v>200</v>
      </c>
      <c r="E144">
        <v>47.13</v>
      </c>
      <c r="F144">
        <v>321</v>
      </c>
      <c r="G144">
        <v>33</v>
      </c>
      <c r="H144">
        <v>16.5</v>
      </c>
      <c r="I144" s="3">
        <f>Table13[[#This Row],[Bounce Rate]]/100</f>
        <v>0.47130000000000005</v>
      </c>
      <c r="J144" s="3">
        <f>Table13[[#This Row],[Conversion Rate ]]/100</f>
        <v>0.16500000000000001</v>
      </c>
      <c r="K144" s="5">
        <f>Table13[[#This Row],[Avg Session Duration (sec)]]/60</f>
        <v>5.35</v>
      </c>
    </row>
    <row r="145" spans="1:11" x14ac:dyDescent="0.25">
      <c r="A145" s="6">
        <v>45801</v>
      </c>
      <c r="B145" s="7" t="s">
        <v>151</v>
      </c>
      <c r="C145" t="s">
        <v>249</v>
      </c>
      <c r="D145">
        <v>167</v>
      </c>
      <c r="E145">
        <v>51.61</v>
      </c>
      <c r="F145">
        <v>208</v>
      </c>
      <c r="G145">
        <v>2</v>
      </c>
      <c r="H145">
        <v>1.2</v>
      </c>
      <c r="I145" s="3">
        <f>Table13[[#This Row],[Bounce Rate]]/100</f>
        <v>0.5161</v>
      </c>
      <c r="J145" s="3">
        <f>Table13[[#This Row],[Conversion Rate ]]/100</f>
        <v>1.2E-2</v>
      </c>
      <c r="K145" s="5">
        <f>Table13[[#This Row],[Avg Session Duration (sec)]]/60</f>
        <v>3.4666666666666668</v>
      </c>
    </row>
    <row r="146" spans="1:11" x14ac:dyDescent="0.25">
      <c r="A146" s="6">
        <v>45802</v>
      </c>
      <c r="B146" s="7" t="s">
        <v>152</v>
      </c>
      <c r="C146" t="s">
        <v>248</v>
      </c>
      <c r="D146">
        <v>592</v>
      </c>
      <c r="E146">
        <v>48.61</v>
      </c>
      <c r="F146">
        <v>100</v>
      </c>
      <c r="G146">
        <v>23</v>
      </c>
      <c r="H146">
        <v>3.89</v>
      </c>
      <c r="I146" s="3">
        <f>Table13[[#This Row],[Bounce Rate]]/100</f>
        <v>0.48609999999999998</v>
      </c>
      <c r="J146" s="3">
        <f>Table13[[#This Row],[Conversion Rate ]]/100</f>
        <v>3.8900000000000004E-2</v>
      </c>
      <c r="K146" s="5">
        <f>Table13[[#This Row],[Avg Session Duration (sec)]]/60</f>
        <v>1.6666666666666667</v>
      </c>
    </row>
    <row r="147" spans="1:11" x14ac:dyDescent="0.25">
      <c r="A147" s="6">
        <v>45803</v>
      </c>
      <c r="B147" s="7" t="s">
        <v>153</v>
      </c>
      <c r="C147" t="s">
        <v>247</v>
      </c>
      <c r="D147">
        <v>156</v>
      </c>
      <c r="E147">
        <v>60.09</v>
      </c>
      <c r="F147">
        <v>105</v>
      </c>
      <c r="G147">
        <v>2</v>
      </c>
      <c r="H147">
        <v>1.28</v>
      </c>
      <c r="I147" s="3">
        <f>Table13[[#This Row],[Bounce Rate]]/100</f>
        <v>0.60089999999999999</v>
      </c>
      <c r="J147" s="3">
        <f>Table13[[#This Row],[Conversion Rate ]]/100</f>
        <v>1.2800000000000001E-2</v>
      </c>
      <c r="K147" s="5">
        <f>Table13[[#This Row],[Avg Session Duration (sec)]]/60</f>
        <v>1.75</v>
      </c>
    </row>
    <row r="148" spans="1:11" x14ac:dyDescent="0.25">
      <c r="A148" s="6">
        <v>45804</v>
      </c>
      <c r="B148" s="7" t="s">
        <v>154</v>
      </c>
      <c r="C148" t="s">
        <v>247</v>
      </c>
      <c r="D148">
        <v>491</v>
      </c>
      <c r="E148">
        <v>59.35</v>
      </c>
      <c r="F148">
        <v>331</v>
      </c>
      <c r="G148">
        <v>22</v>
      </c>
      <c r="H148">
        <v>4.4800000000000004</v>
      </c>
      <c r="I148" s="3">
        <f>Table13[[#This Row],[Bounce Rate]]/100</f>
        <v>0.59350000000000003</v>
      </c>
      <c r="J148" s="3">
        <f>Table13[[#This Row],[Conversion Rate ]]/100</f>
        <v>4.4800000000000006E-2</v>
      </c>
      <c r="K148" s="5">
        <f>Table13[[#This Row],[Avg Session Duration (sec)]]/60</f>
        <v>5.5166666666666666</v>
      </c>
    </row>
    <row r="149" spans="1:11" x14ac:dyDescent="0.25">
      <c r="A149" s="6">
        <v>45805</v>
      </c>
      <c r="B149" s="7" t="s">
        <v>155</v>
      </c>
      <c r="C149" t="s">
        <v>249</v>
      </c>
      <c r="D149">
        <v>298</v>
      </c>
      <c r="E149">
        <v>30.9</v>
      </c>
      <c r="F149">
        <v>113</v>
      </c>
      <c r="G149">
        <v>42</v>
      </c>
      <c r="H149">
        <v>14.09</v>
      </c>
      <c r="I149" s="3">
        <f>Table13[[#This Row],[Bounce Rate]]/100</f>
        <v>0.309</v>
      </c>
      <c r="J149" s="3">
        <f>Table13[[#This Row],[Conversion Rate ]]/100</f>
        <v>0.1409</v>
      </c>
      <c r="K149" s="5">
        <f>Table13[[#This Row],[Avg Session Duration (sec)]]/60</f>
        <v>1.8833333333333333</v>
      </c>
    </row>
    <row r="150" spans="1:11" x14ac:dyDescent="0.25">
      <c r="A150" s="6">
        <v>45806</v>
      </c>
      <c r="B150" s="7" t="s">
        <v>156</v>
      </c>
      <c r="C150" t="s">
        <v>247</v>
      </c>
      <c r="D150">
        <v>493</v>
      </c>
      <c r="E150">
        <v>37.590000000000003</v>
      </c>
      <c r="F150">
        <v>141</v>
      </c>
      <c r="G150">
        <v>37</v>
      </c>
      <c r="H150">
        <v>7.51</v>
      </c>
      <c r="I150" s="3">
        <f>Table13[[#This Row],[Bounce Rate]]/100</f>
        <v>0.37590000000000001</v>
      </c>
      <c r="J150" s="3">
        <f>Table13[[#This Row],[Conversion Rate ]]/100</f>
        <v>7.51E-2</v>
      </c>
      <c r="K150" s="5">
        <f>Table13[[#This Row],[Avg Session Duration (sec)]]/60</f>
        <v>2.35</v>
      </c>
    </row>
    <row r="151" spans="1:11" x14ac:dyDescent="0.25">
      <c r="A151" s="6">
        <v>45807</v>
      </c>
      <c r="B151" s="7" t="s">
        <v>157</v>
      </c>
      <c r="C151" t="s">
        <v>247</v>
      </c>
      <c r="D151">
        <v>392</v>
      </c>
      <c r="E151">
        <v>31.93</v>
      </c>
      <c r="F151">
        <v>325</v>
      </c>
      <c r="G151">
        <v>15</v>
      </c>
      <c r="H151">
        <v>3.83</v>
      </c>
      <c r="I151" s="3">
        <f>Table13[[#This Row],[Bounce Rate]]/100</f>
        <v>0.31929999999999997</v>
      </c>
      <c r="J151" s="3">
        <f>Table13[[#This Row],[Conversion Rate ]]/100</f>
        <v>3.8300000000000001E-2</v>
      </c>
      <c r="K151" s="5">
        <f>Table13[[#This Row],[Avg Session Duration (sec)]]/60</f>
        <v>5.416666666666667</v>
      </c>
    </row>
    <row r="152" spans="1:11" x14ac:dyDescent="0.25">
      <c r="A152" s="6">
        <v>45808</v>
      </c>
      <c r="B152" s="7" t="s">
        <v>158</v>
      </c>
      <c r="C152" t="s">
        <v>247</v>
      </c>
      <c r="D152">
        <v>205</v>
      </c>
      <c r="E152">
        <v>31.45</v>
      </c>
      <c r="F152">
        <v>341</v>
      </c>
      <c r="G152">
        <v>9</v>
      </c>
      <c r="H152">
        <v>4.3899999999999997</v>
      </c>
      <c r="I152" s="3">
        <f>Table13[[#This Row],[Bounce Rate]]/100</f>
        <v>0.3145</v>
      </c>
      <c r="J152" s="3">
        <f>Table13[[#This Row],[Conversion Rate ]]/100</f>
        <v>4.3899999999999995E-2</v>
      </c>
      <c r="K152" s="5">
        <f>Table13[[#This Row],[Avg Session Duration (sec)]]/60</f>
        <v>5.6833333333333336</v>
      </c>
    </row>
    <row r="153" spans="1:11" x14ac:dyDescent="0.25">
      <c r="A153" s="6">
        <v>45809</v>
      </c>
      <c r="B153" s="7" t="s">
        <v>159</v>
      </c>
      <c r="C153" t="s">
        <v>252</v>
      </c>
      <c r="D153">
        <v>436</v>
      </c>
      <c r="E153">
        <v>53.6</v>
      </c>
      <c r="F153">
        <v>349</v>
      </c>
      <c r="G153">
        <v>29</v>
      </c>
      <c r="H153">
        <v>6.65</v>
      </c>
      <c r="I153" s="3">
        <f>Table13[[#This Row],[Bounce Rate]]/100</f>
        <v>0.53600000000000003</v>
      </c>
      <c r="J153" s="3">
        <f>Table13[[#This Row],[Conversion Rate ]]/100</f>
        <v>6.6500000000000004E-2</v>
      </c>
      <c r="K153" s="5">
        <f>Table13[[#This Row],[Avg Session Duration (sec)]]/60</f>
        <v>5.8166666666666664</v>
      </c>
    </row>
    <row r="154" spans="1:11" x14ac:dyDescent="0.25">
      <c r="A154" s="6">
        <v>45810</v>
      </c>
      <c r="B154" s="7" t="s">
        <v>160</v>
      </c>
      <c r="C154" t="s">
        <v>250</v>
      </c>
      <c r="D154">
        <v>452</v>
      </c>
      <c r="E154">
        <v>35.17</v>
      </c>
      <c r="F154">
        <v>181</v>
      </c>
      <c r="G154">
        <v>20</v>
      </c>
      <c r="H154">
        <v>4.42</v>
      </c>
      <c r="I154" s="3">
        <f>Table13[[#This Row],[Bounce Rate]]/100</f>
        <v>0.35170000000000001</v>
      </c>
      <c r="J154" s="3">
        <f>Table13[[#This Row],[Conversion Rate ]]/100</f>
        <v>4.4199999999999996E-2</v>
      </c>
      <c r="K154" s="5">
        <f>Table13[[#This Row],[Avg Session Duration (sec)]]/60</f>
        <v>3.0166666666666666</v>
      </c>
    </row>
    <row r="155" spans="1:11" x14ac:dyDescent="0.25">
      <c r="A155" s="6">
        <v>45811</v>
      </c>
      <c r="B155" s="7" t="s">
        <v>161</v>
      </c>
      <c r="C155" t="s">
        <v>249</v>
      </c>
      <c r="D155">
        <v>535</v>
      </c>
      <c r="E155">
        <v>62.35</v>
      </c>
      <c r="F155">
        <v>98</v>
      </c>
      <c r="G155">
        <v>4</v>
      </c>
      <c r="H155">
        <v>0.75</v>
      </c>
      <c r="I155" s="3">
        <f>Table13[[#This Row],[Bounce Rate]]/100</f>
        <v>0.62350000000000005</v>
      </c>
      <c r="J155" s="3">
        <f>Table13[[#This Row],[Conversion Rate ]]/100</f>
        <v>7.4999999999999997E-3</v>
      </c>
      <c r="K155" s="5">
        <f>Table13[[#This Row],[Avg Session Duration (sec)]]/60</f>
        <v>1.6333333333333333</v>
      </c>
    </row>
    <row r="156" spans="1:11" x14ac:dyDescent="0.25">
      <c r="A156" s="6">
        <v>45812</v>
      </c>
      <c r="B156" s="7" t="s">
        <v>162</v>
      </c>
      <c r="C156" t="s">
        <v>247</v>
      </c>
      <c r="D156">
        <v>579</v>
      </c>
      <c r="E156">
        <v>64.97</v>
      </c>
      <c r="F156">
        <v>316</v>
      </c>
      <c r="G156">
        <v>10</v>
      </c>
      <c r="H156">
        <v>1.73</v>
      </c>
      <c r="I156" s="3">
        <f>Table13[[#This Row],[Bounce Rate]]/100</f>
        <v>0.64969999999999994</v>
      </c>
      <c r="J156" s="3">
        <f>Table13[[#This Row],[Conversion Rate ]]/100</f>
        <v>1.7299999999999999E-2</v>
      </c>
      <c r="K156" s="5">
        <f>Table13[[#This Row],[Avg Session Duration (sec)]]/60</f>
        <v>5.2666666666666666</v>
      </c>
    </row>
    <row r="157" spans="1:11" x14ac:dyDescent="0.25">
      <c r="A157" s="6">
        <v>45813</v>
      </c>
      <c r="B157" s="7" t="s">
        <v>163</v>
      </c>
      <c r="C157" t="s">
        <v>249</v>
      </c>
      <c r="D157">
        <v>102</v>
      </c>
      <c r="E157">
        <v>37.26</v>
      </c>
      <c r="F157">
        <v>196</v>
      </c>
      <c r="G157">
        <v>27</v>
      </c>
      <c r="H157">
        <v>26.47</v>
      </c>
      <c r="I157" s="3">
        <f>Table13[[#This Row],[Bounce Rate]]/100</f>
        <v>0.37259999999999999</v>
      </c>
      <c r="J157" s="3">
        <f>Table13[[#This Row],[Conversion Rate ]]/100</f>
        <v>0.26469999999999999</v>
      </c>
      <c r="K157" s="5">
        <f>Table13[[#This Row],[Avg Session Duration (sec)]]/60</f>
        <v>3.2666666666666666</v>
      </c>
    </row>
    <row r="158" spans="1:11" x14ac:dyDescent="0.25">
      <c r="A158" s="6">
        <v>45814</v>
      </c>
      <c r="B158" s="7" t="s">
        <v>164</v>
      </c>
      <c r="C158" t="s">
        <v>252</v>
      </c>
      <c r="D158">
        <v>515</v>
      </c>
      <c r="E158">
        <v>58.85</v>
      </c>
      <c r="F158">
        <v>185</v>
      </c>
      <c r="G158">
        <v>24</v>
      </c>
      <c r="H158">
        <v>4.66</v>
      </c>
      <c r="I158" s="3">
        <f>Table13[[#This Row],[Bounce Rate]]/100</f>
        <v>0.58850000000000002</v>
      </c>
      <c r="J158" s="3">
        <f>Table13[[#This Row],[Conversion Rate ]]/100</f>
        <v>4.6600000000000003E-2</v>
      </c>
      <c r="K158" s="5">
        <f>Table13[[#This Row],[Avg Session Duration (sec)]]/60</f>
        <v>3.0833333333333335</v>
      </c>
    </row>
    <row r="159" spans="1:11" x14ac:dyDescent="0.25">
      <c r="A159" s="6">
        <v>45815</v>
      </c>
      <c r="B159" s="7" t="s">
        <v>165</v>
      </c>
      <c r="C159" t="s">
        <v>251</v>
      </c>
      <c r="D159">
        <v>566</v>
      </c>
      <c r="E159">
        <v>37.14</v>
      </c>
      <c r="F159">
        <v>280</v>
      </c>
      <c r="G159">
        <v>44</v>
      </c>
      <c r="H159">
        <v>7.77</v>
      </c>
      <c r="I159" s="3">
        <f>Table13[[#This Row],[Bounce Rate]]/100</f>
        <v>0.37140000000000001</v>
      </c>
      <c r="J159" s="3">
        <f>Table13[[#This Row],[Conversion Rate ]]/100</f>
        <v>7.7699999999999991E-2</v>
      </c>
      <c r="K159" s="5">
        <f>Table13[[#This Row],[Avg Session Duration (sec)]]/60</f>
        <v>4.666666666666667</v>
      </c>
    </row>
    <row r="160" spans="1:11" x14ac:dyDescent="0.25">
      <c r="A160" s="6">
        <v>45816</v>
      </c>
      <c r="B160" s="7" t="s">
        <v>166</v>
      </c>
      <c r="C160" t="s">
        <v>251</v>
      </c>
      <c r="D160">
        <v>271</v>
      </c>
      <c r="E160">
        <v>27.19</v>
      </c>
      <c r="F160">
        <v>152</v>
      </c>
      <c r="G160">
        <v>2</v>
      </c>
      <c r="H160">
        <v>0.74</v>
      </c>
      <c r="I160" s="3">
        <f>Table13[[#This Row],[Bounce Rate]]/100</f>
        <v>0.27190000000000003</v>
      </c>
      <c r="J160" s="3">
        <f>Table13[[#This Row],[Conversion Rate ]]/100</f>
        <v>7.4000000000000003E-3</v>
      </c>
      <c r="K160" s="5">
        <f>Table13[[#This Row],[Avg Session Duration (sec)]]/60</f>
        <v>2.5333333333333332</v>
      </c>
    </row>
    <row r="161" spans="1:11" x14ac:dyDescent="0.25">
      <c r="A161" s="6">
        <v>45817</v>
      </c>
      <c r="B161" s="7" t="s">
        <v>167</v>
      </c>
      <c r="C161" t="s">
        <v>247</v>
      </c>
      <c r="D161">
        <v>273</v>
      </c>
      <c r="E161">
        <v>57.8</v>
      </c>
      <c r="F161">
        <v>284</v>
      </c>
      <c r="G161">
        <v>24</v>
      </c>
      <c r="H161">
        <v>8.7899999999999991</v>
      </c>
      <c r="I161" s="3">
        <f>Table13[[#This Row],[Bounce Rate]]/100</f>
        <v>0.57799999999999996</v>
      </c>
      <c r="J161" s="3">
        <f>Table13[[#This Row],[Conversion Rate ]]/100</f>
        <v>8.7899999999999992E-2</v>
      </c>
      <c r="K161" s="5">
        <f>Table13[[#This Row],[Avg Session Duration (sec)]]/60</f>
        <v>4.7333333333333334</v>
      </c>
    </row>
    <row r="162" spans="1:11" x14ac:dyDescent="0.25">
      <c r="A162" s="6">
        <v>45818</v>
      </c>
      <c r="B162" s="7" t="s">
        <v>168</v>
      </c>
      <c r="C162" t="s">
        <v>247</v>
      </c>
      <c r="D162">
        <v>565</v>
      </c>
      <c r="E162">
        <v>42.24</v>
      </c>
      <c r="F162">
        <v>269</v>
      </c>
      <c r="G162">
        <v>28</v>
      </c>
      <c r="H162">
        <v>4.96</v>
      </c>
      <c r="I162" s="3">
        <f>Table13[[#This Row],[Bounce Rate]]/100</f>
        <v>0.4224</v>
      </c>
      <c r="J162" s="3">
        <f>Table13[[#This Row],[Conversion Rate ]]/100</f>
        <v>4.9599999999999998E-2</v>
      </c>
      <c r="K162" s="5">
        <f>Table13[[#This Row],[Avg Session Duration (sec)]]/60</f>
        <v>4.4833333333333334</v>
      </c>
    </row>
    <row r="163" spans="1:11" x14ac:dyDescent="0.25">
      <c r="A163" s="6">
        <v>45819</v>
      </c>
      <c r="B163" s="7" t="s">
        <v>169</v>
      </c>
      <c r="C163" t="s">
        <v>248</v>
      </c>
      <c r="D163">
        <v>503</v>
      </c>
      <c r="E163">
        <v>69.13</v>
      </c>
      <c r="F163">
        <v>285</v>
      </c>
      <c r="G163">
        <v>43</v>
      </c>
      <c r="H163">
        <v>8.5500000000000007</v>
      </c>
      <c r="I163" s="3">
        <f>Table13[[#This Row],[Bounce Rate]]/100</f>
        <v>0.69129999999999991</v>
      </c>
      <c r="J163" s="3">
        <f>Table13[[#This Row],[Conversion Rate ]]/100</f>
        <v>8.5500000000000007E-2</v>
      </c>
      <c r="K163" s="5">
        <f>Table13[[#This Row],[Avg Session Duration (sec)]]/60</f>
        <v>4.75</v>
      </c>
    </row>
    <row r="164" spans="1:11" x14ac:dyDescent="0.25">
      <c r="A164" s="6">
        <v>45820</v>
      </c>
      <c r="B164" s="7" t="s">
        <v>170</v>
      </c>
      <c r="C164" t="s">
        <v>251</v>
      </c>
      <c r="D164">
        <v>298</v>
      </c>
      <c r="E164">
        <v>54.28</v>
      </c>
      <c r="F164">
        <v>195</v>
      </c>
      <c r="G164">
        <v>19</v>
      </c>
      <c r="H164">
        <v>6.38</v>
      </c>
      <c r="I164" s="3">
        <f>Table13[[#This Row],[Bounce Rate]]/100</f>
        <v>0.54280000000000006</v>
      </c>
      <c r="J164" s="3">
        <f>Table13[[#This Row],[Conversion Rate ]]/100</f>
        <v>6.3799999999999996E-2</v>
      </c>
      <c r="K164" s="5">
        <f>Table13[[#This Row],[Avg Session Duration (sec)]]/60</f>
        <v>3.25</v>
      </c>
    </row>
    <row r="165" spans="1:11" x14ac:dyDescent="0.25">
      <c r="A165" s="6">
        <v>45821</v>
      </c>
      <c r="B165" s="7" t="s">
        <v>171</v>
      </c>
      <c r="C165" t="s">
        <v>252</v>
      </c>
      <c r="D165">
        <v>112</v>
      </c>
      <c r="E165">
        <v>34.74</v>
      </c>
      <c r="F165">
        <v>192</v>
      </c>
      <c r="G165">
        <v>28</v>
      </c>
      <c r="H165">
        <v>25</v>
      </c>
      <c r="I165" s="3">
        <f>Table13[[#This Row],[Bounce Rate]]/100</f>
        <v>0.34740000000000004</v>
      </c>
      <c r="J165" s="3">
        <f>Table13[[#This Row],[Conversion Rate ]]/100</f>
        <v>0.25</v>
      </c>
      <c r="K165" s="5">
        <f>Table13[[#This Row],[Avg Session Duration (sec)]]/60</f>
        <v>3.2</v>
      </c>
    </row>
    <row r="166" spans="1:11" x14ac:dyDescent="0.25">
      <c r="A166" s="6">
        <v>45822</v>
      </c>
      <c r="B166" s="7" t="s">
        <v>172</v>
      </c>
      <c r="C166" t="s">
        <v>248</v>
      </c>
      <c r="D166">
        <v>50</v>
      </c>
      <c r="E166">
        <v>46.1</v>
      </c>
      <c r="F166">
        <v>129</v>
      </c>
      <c r="G166">
        <v>11</v>
      </c>
      <c r="H166">
        <v>22</v>
      </c>
      <c r="I166" s="3">
        <f>Table13[[#This Row],[Bounce Rate]]/100</f>
        <v>0.46100000000000002</v>
      </c>
      <c r="J166" s="3">
        <f>Table13[[#This Row],[Conversion Rate ]]/100</f>
        <v>0.22</v>
      </c>
      <c r="K166" s="5">
        <f>Table13[[#This Row],[Avg Session Duration (sec)]]/60</f>
        <v>2.15</v>
      </c>
    </row>
    <row r="167" spans="1:11" x14ac:dyDescent="0.25">
      <c r="A167" s="6">
        <v>45823</v>
      </c>
      <c r="B167" s="7" t="s">
        <v>84</v>
      </c>
      <c r="C167" t="s">
        <v>248</v>
      </c>
      <c r="D167">
        <v>540</v>
      </c>
      <c r="E167">
        <v>29.77</v>
      </c>
      <c r="F167">
        <v>107</v>
      </c>
      <c r="G167">
        <v>32</v>
      </c>
      <c r="H167">
        <v>5.93</v>
      </c>
      <c r="I167" s="3">
        <f>Table13[[#This Row],[Bounce Rate]]/100</f>
        <v>0.29770000000000002</v>
      </c>
      <c r="J167" s="3">
        <f>Table13[[#This Row],[Conversion Rate ]]/100</f>
        <v>5.9299999999999999E-2</v>
      </c>
      <c r="K167" s="5">
        <f>Table13[[#This Row],[Avg Session Duration (sec)]]/60</f>
        <v>1.7833333333333334</v>
      </c>
    </row>
    <row r="168" spans="1:11" x14ac:dyDescent="0.25">
      <c r="A168" s="6">
        <v>45824</v>
      </c>
      <c r="B168" s="7" t="s">
        <v>173</v>
      </c>
      <c r="C168" t="s">
        <v>252</v>
      </c>
      <c r="D168">
        <v>414</v>
      </c>
      <c r="E168">
        <v>69.28</v>
      </c>
      <c r="F168">
        <v>289</v>
      </c>
      <c r="G168">
        <v>21</v>
      </c>
      <c r="H168">
        <v>5.07</v>
      </c>
      <c r="I168" s="3">
        <f>Table13[[#This Row],[Bounce Rate]]/100</f>
        <v>0.69279999999999997</v>
      </c>
      <c r="J168" s="3">
        <f>Table13[[#This Row],[Conversion Rate ]]/100</f>
        <v>5.0700000000000002E-2</v>
      </c>
      <c r="K168" s="5">
        <f>Table13[[#This Row],[Avg Session Duration (sec)]]/60</f>
        <v>4.8166666666666664</v>
      </c>
    </row>
    <row r="169" spans="1:11" x14ac:dyDescent="0.25">
      <c r="A169" s="6">
        <v>45825</v>
      </c>
      <c r="B169" s="7" t="s">
        <v>174</v>
      </c>
      <c r="C169" t="s">
        <v>248</v>
      </c>
      <c r="D169">
        <v>170</v>
      </c>
      <c r="E169">
        <v>37.64</v>
      </c>
      <c r="F169">
        <v>90</v>
      </c>
      <c r="G169">
        <v>4</v>
      </c>
      <c r="H169">
        <v>2.35</v>
      </c>
      <c r="I169" s="3">
        <f>Table13[[#This Row],[Bounce Rate]]/100</f>
        <v>0.37640000000000001</v>
      </c>
      <c r="J169" s="3">
        <f>Table13[[#This Row],[Conversion Rate ]]/100</f>
        <v>2.35E-2</v>
      </c>
      <c r="K169" s="5">
        <f>Table13[[#This Row],[Avg Session Duration (sec)]]/60</f>
        <v>1.5</v>
      </c>
    </row>
    <row r="170" spans="1:11" x14ac:dyDescent="0.25">
      <c r="A170" s="6">
        <v>45826</v>
      </c>
      <c r="B170" s="7" t="s">
        <v>175</v>
      </c>
      <c r="C170" t="s">
        <v>247</v>
      </c>
      <c r="D170">
        <v>129</v>
      </c>
      <c r="E170">
        <v>36.11</v>
      </c>
      <c r="F170">
        <v>121</v>
      </c>
      <c r="G170">
        <v>41</v>
      </c>
      <c r="H170">
        <v>31.78</v>
      </c>
      <c r="I170" s="3">
        <f>Table13[[#This Row],[Bounce Rate]]/100</f>
        <v>0.36109999999999998</v>
      </c>
      <c r="J170" s="3">
        <f>Table13[[#This Row],[Conversion Rate ]]/100</f>
        <v>0.31780000000000003</v>
      </c>
      <c r="K170" s="5">
        <f>Table13[[#This Row],[Avg Session Duration (sec)]]/60</f>
        <v>2.0166666666666666</v>
      </c>
    </row>
    <row r="171" spans="1:11" x14ac:dyDescent="0.25">
      <c r="A171" s="6">
        <v>45827</v>
      </c>
      <c r="B171" s="7" t="s">
        <v>176</v>
      </c>
      <c r="C171" t="s">
        <v>249</v>
      </c>
      <c r="D171">
        <v>494</v>
      </c>
      <c r="E171">
        <v>25.01</v>
      </c>
      <c r="F171">
        <v>60</v>
      </c>
      <c r="G171">
        <v>40</v>
      </c>
      <c r="H171">
        <v>8.1</v>
      </c>
      <c r="I171" s="3">
        <f>Table13[[#This Row],[Bounce Rate]]/100</f>
        <v>0.25009999999999999</v>
      </c>
      <c r="J171" s="3">
        <f>Table13[[#This Row],[Conversion Rate ]]/100</f>
        <v>8.1000000000000003E-2</v>
      </c>
      <c r="K171" s="5">
        <f>Table13[[#This Row],[Avg Session Duration (sec)]]/60</f>
        <v>1</v>
      </c>
    </row>
    <row r="172" spans="1:11" x14ac:dyDescent="0.25">
      <c r="A172" s="6">
        <v>45828</v>
      </c>
      <c r="B172" s="7" t="s">
        <v>177</v>
      </c>
      <c r="C172" t="s">
        <v>249</v>
      </c>
      <c r="D172">
        <v>150</v>
      </c>
      <c r="E172">
        <v>58.3</v>
      </c>
      <c r="F172">
        <v>99</v>
      </c>
      <c r="G172">
        <v>27</v>
      </c>
      <c r="H172">
        <v>18</v>
      </c>
      <c r="I172" s="3">
        <f>Table13[[#This Row],[Bounce Rate]]/100</f>
        <v>0.58299999999999996</v>
      </c>
      <c r="J172" s="3">
        <f>Table13[[#This Row],[Conversion Rate ]]/100</f>
        <v>0.18</v>
      </c>
      <c r="K172" s="5">
        <f>Table13[[#This Row],[Avg Session Duration (sec)]]/60</f>
        <v>1.65</v>
      </c>
    </row>
    <row r="173" spans="1:11" x14ac:dyDescent="0.25">
      <c r="A173" s="6">
        <v>45829</v>
      </c>
      <c r="B173" s="7" t="s">
        <v>178</v>
      </c>
      <c r="C173" t="s">
        <v>247</v>
      </c>
      <c r="D173">
        <v>94</v>
      </c>
      <c r="E173">
        <v>57.47</v>
      </c>
      <c r="F173">
        <v>116</v>
      </c>
      <c r="G173">
        <v>33</v>
      </c>
      <c r="H173">
        <v>35.11</v>
      </c>
      <c r="I173" s="3">
        <f>Table13[[#This Row],[Bounce Rate]]/100</f>
        <v>0.57469999999999999</v>
      </c>
      <c r="J173" s="3">
        <f>Table13[[#This Row],[Conversion Rate ]]/100</f>
        <v>0.35109999999999997</v>
      </c>
      <c r="K173" s="5">
        <f>Table13[[#This Row],[Avg Session Duration (sec)]]/60</f>
        <v>1.9333333333333333</v>
      </c>
    </row>
    <row r="174" spans="1:11" x14ac:dyDescent="0.25">
      <c r="A174" s="6">
        <v>45830</v>
      </c>
      <c r="B174" s="7" t="s">
        <v>179</v>
      </c>
      <c r="C174" t="s">
        <v>251</v>
      </c>
      <c r="D174">
        <v>166</v>
      </c>
      <c r="E174">
        <v>52.8</v>
      </c>
      <c r="F174">
        <v>127</v>
      </c>
      <c r="G174">
        <v>40</v>
      </c>
      <c r="H174">
        <v>24.1</v>
      </c>
      <c r="I174" s="3">
        <f>Table13[[#This Row],[Bounce Rate]]/100</f>
        <v>0.52800000000000002</v>
      </c>
      <c r="J174" s="3">
        <f>Table13[[#This Row],[Conversion Rate ]]/100</f>
        <v>0.24100000000000002</v>
      </c>
      <c r="K174" s="5">
        <f>Table13[[#This Row],[Avg Session Duration (sec)]]/60</f>
        <v>2.1166666666666667</v>
      </c>
    </row>
    <row r="175" spans="1:11" x14ac:dyDescent="0.25">
      <c r="A175" s="6">
        <v>45831</v>
      </c>
      <c r="B175" s="7" t="s">
        <v>180</v>
      </c>
      <c r="C175" t="s">
        <v>247</v>
      </c>
      <c r="D175">
        <v>530</v>
      </c>
      <c r="E175">
        <v>32.36</v>
      </c>
      <c r="F175">
        <v>144</v>
      </c>
      <c r="G175">
        <v>14</v>
      </c>
      <c r="H175">
        <v>2.64</v>
      </c>
      <c r="I175" s="3">
        <f>Table13[[#This Row],[Bounce Rate]]/100</f>
        <v>0.3236</v>
      </c>
      <c r="J175" s="3">
        <f>Table13[[#This Row],[Conversion Rate ]]/100</f>
        <v>2.64E-2</v>
      </c>
      <c r="K175" s="5">
        <f>Table13[[#This Row],[Avg Session Duration (sec)]]/60</f>
        <v>2.4</v>
      </c>
    </row>
    <row r="176" spans="1:11" x14ac:dyDescent="0.25">
      <c r="A176" s="6">
        <v>45832</v>
      </c>
      <c r="B176" s="7" t="s">
        <v>181</v>
      </c>
      <c r="C176" t="s">
        <v>250</v>
      </c>
      <c r="D176">
        <v>381</v>
      </c>
      <c r="E176">
        <v>49.97</v>
      </c>
      <c r="F176">
        <v>192</v>
      </c>
      <c r="G176">
        <v>8</v>
      </c>
      <c r="H176">
        <v>2.1</v>
      </c>
      <c r="I176" s="3">
        <f>Table13[[#This Row],[Bounce Rate]]/100</f>
        <v>0.49969999999999998</v>
      </c>
      <c r="J176" s="3">
        <f>Table13[[#This Row],[Conversion Rate ]]/100</f>
        <v>2.1000000000000001E-2</v>
      </c>
      <c r="K176" s="5">
        <f>Table13[[#This Row],[Avg Session Duration (sec)]]/60</f>
        <v>3.2</v>
      </c>
    </row>
    <row r="177" spans="1:11" x14ac:dyDescent="0.25">
      <c r="A177" s="6">
        <v>45833</v>
      </c>
      <c r="B177" s="7" t="s">
        <v>182</v>
      </c>
      <c r="C177" t="s">
        <v>247</v>
      </c>
      <c r="D177">
        <v>285</v>
      </c>
      <c r="E177">
        <v>38.840000000000003</v>
      </c>
      <c r="F177">
        <v>66</v>
      </c>
      <c r="G177">
        <v>27</v>
      </c>
      <c r="H177">
        <v>9.4700000000000006</v>
      </c>
      <c r="I177" s="3">
        <f>Table13[[#This Row],[Bounce Rate]]/100</f>
        <v>0.38840000000000002</v>
      </c>
      <c r="J177" s="3">
        <f>Table13[[#This Row],[Conversion Rate ]]/100</f>
        <v>9.4700000000000006E-2</v>
      </c>
      <c r="K177" s="5">
        <f>Table13[[#This Row],[Avg Session Duration (sec)]]/60</f>
        <v>1.1000000000000001</v>
      </c>
    </row>
    <row r="178" spans="1:11" x14ac:dyDescent="0.25">
      <c r="A178" s="6">
        <v>45834</v>
      </c>
      <c r="B178" s="7" t="s">
        <v>183</v>
      </c>
      <c r="C178" t="s">
        <v>249</v>
      </c>
      <c r="D178">
        <v>243</v>
      </c>
      <c r="E178">
        <v>69.02</v>
      </c>
      <c r="F178">
        <v>225</v>
      </c>
      <c r="G178">
        <v>25</v>
      </c>
      <c r="H178">
        <v>10.29</v>
      </c>
      <c r="I178" s="3">
        <f>Table13[[#This Row],[Bounce Rate]]/100</f>
        <v>0.69019999999999992</v>
      </c>
      <c r="J178" s="3">
        <f>Table13[[#This Row],[Conversion Rate ]]/100</f>
        <v>0.10289999999999999</v>
      </c>
      <c r="K178" s="5">
        <f>Table13[[#This Row],[Avg Session Duration (sec)]]/60</f>
        <v>3.75</v>
      </c>
    </row>
    <row r="179" spans="1:11" x14ac:dyDescent="0.25">
      <c r="A179" s="6">
        <v>45835</v>
      </c>
      <c r="B179" s="7" t="s">
        <v>184</v>
      </c>
      <c r="C179" t="s">
        <v>249</v>
      </c>
      <c r="D179">
        <v>402</v>
      </c>
      <c r="E179">
        <v>60.08</v>
      </c>
      <c r="F179">
        <v>304</v>
      </c>
      <c r="G179">
        <v>28</v>
      </c>
      <c r="H179">
        <v>6.97</v>
      </c>
      <c r="I179" s="3">
        <f>Table13[[#This Row],[Bounce Rate]]/100</f>
        <v>0.6008</v>
      </c>
      <c r="J179" s="3">
        <f>Table13[[#This Row],[Conversion Rate ]]/100</f>
        <v>6.9699999999999998E-2</v>
      </c>
      <c r="K179" s="5">
        <f>Table13[[#This Row],[Avg Session Duration (sec)]]/60</f>
        <v>5.0666666666666664</v>
      </c>
    </row>
    <row r="180" spans="1:11" x14ac:dyDescent="0.25">
      <c r="A180" s="6">
        <v>45836</v>
      </c>
      <c r="B180" s="7" t="s">
        <v>185</v>
      </c>
      <c r="C180" t="s">
        <v>247</v>
      </c>
      <c r="D180">
        <v>440</v>
      </c>
      <c r="E180">
        <v>26.65</v>
      </c>
      <c r="F180">
        <v>194</v>
      </c>
      <c r="G180">
        <v>18</v>
      </c>
      <c r="H180">
        <v>4.09</v>
      </c>
      <c r="I180" s="3">
        <f>Table13[[#This Row],[Bounce Rate]]/100</f>
        <v>0.26649999999999996</v>
      </c>
      <c r="J180" s="3">
        <f>Table13[[#This Row],[Conversion Rate ]]/100</f>
        <v>4.0899999999999999E-2</v>
      </c>
      <c r="K180" s="5">
        <f>Table13[[#This Row],[Avg Session Duration (sec)]]/60</f>
        <v>3.2333333333333334</v>
      </c>
    </row>
    <row r="181" spans="1:11" x14ac:dyDescent="0.25">
      <c r="A181" s="6">
        <v>45837</v>
      </c>
      <c r="B181" s="7" t="s">
        <v>186</v>
      </c>
      <c r="C181" t="s">
        <v>252</v>
      </c>
      <c r="D181">
        <v>354</v>
      </c>
      <c r="E181">
        <v>30.87</v>
      </c>
      <c r="F181">
        <v>66</v>
      </c>
      <c r="G181">
        <v>30</v>
      </c>
      <c r="H181">
        <v>8.4700000000000006</v>
      </c>
      <c r="I181" s="3">
        <f>Table13[[#This Row],[Bounce Rate]]/100</f>
        <v>0.30870000000000003</v>
      </c>
      <c r="J181" s="3">
        <f>Table13[[#This Row],[Conversion Rate ]]/100</f>
        <v>8.4700000000000011E-2</v>
      </c>
      <c r="K181" s="5">
        <f>Table13[[#This Row],[Avg Session Duration (sec)]]/60</f>
        <v>1.1000000000000001</v>
      </c>
    </row>
    <row r="182" spans="1:11" x14ac:dyDescent="0.25">
      <c r="A182" s="6">
        <v>45838</v>
      </c>
      <c r="B182" s="7" t="s">
        <v>187</v>
      </c>
      <c r="C182" t="s">
        <v>252</v>
      </c>
      <c r="D182">
        <v>437</v>
      </c>
      <c r="E182">
        <v>32.07</v>
      </c>
      <c r="F182">
        <v>112</v>
      </c>
      <c r="G182">
        <v>30</v>
      </c>
      <c r="H182">
        <v>6.86</v>
      </c>
      <c r="I182" s="3">
        <f>Table13[[#This Row],[Bounce Rate]]/100</f>
        <v>0.32069999999999999</v>
      </c>
      <c r="J182" s="3">
        <f>Table13[[#This Row],[Conversion Rate ]]/100</f>
        <v>6.8600000000000008E-2</v>
      </c>
      <c r="K182" s="5">
        <f>Table13[[#This Row],[Avg Session Duration (sec)]]/60</f>
        <v>1.8666666666666667</v>
      </c>
    </row>
    <row r="183" spans="1:11" x14ac:dyDescent="0.25">
      <c r="A183" s="6">
        <v>45839</v>
      </c>
      <c r="B183" s="7" t="s">
        <v>188</v>
      </c>
      <c r="C183" t="s">
        <v>249</v>
      </c>
      <c r="D183">
        <v>269</v>
      </c>
      <c r="E183">
        <v>40.799999999999997</v>
      </c>
      <c r="F183">
        <v>234</v>
      </c>
      <c r="G183">
        <v>22</v>
      </c>
      <c r="H183">
        <v>8.18</v>
      </c>
      <c r="I183" s="3">
        <f>Table13[[#This Row],[Bounce Rate]]/100</f>
        <v>0.40799999999999997</v>
      </c>
      <c r="J183" s="3">
        <f>Table13[[#This Row],[Conversion Rate ]]/100</f>
        <v>8.1799999999999998E-2</v>
      </c>
      <c r="K183" s="5">
        <f>Table13[[#This Row],[Avg Session Duration (sec)]]/60</f>
        <v>3.9</v>
      </c>
    </row>
    <row r="184" spans="1:11" x14ac:dyDescent="0.25">
      <c r="A184" s="6">
        <v>45840</v>
      </c>
      <c r="B184" s="7" t="s">
        <v>189</v>
      </c>
      <c r="C184" t="s">
        <v>250</v>
      </c>
      <c r="D184">
        <v>336</v>
      </c>
      <c r="E184">
        <v>25.97</v>
      </c>
      <c r="F184">
        <v>340</v>
      </c>
      <c r="G184">
        <v>12</v>
      </c>
      <c r="H184">
        <v>3.57</v>
      </c>
      <c r="I184" s="3">
        <f>Table13[[#This Row],[Bounce Rate]]/100</f>
        <v>0.25969999999999999</v>
      </c>
      <c r="J184" s="3">
        <f>Table13[[#This Row],[Conversion Rate ]]/100</f>
        <v>3.5699999999999996E-2</v>
      </c>
      <c r="K184" s="5">
        <f>Table13[[#This Row],[Avg Session Duration (sec)]]/60</f>
        <v>5.666666666666667</v>
      </c>
    </row>
    <row r="185" spans="1:11" x14ac:dyDescent="0.25">
      <c r="A185" s="6">
        <v>45841</v>
      </c>
      <c r="B185" s="7" t="s">
        <v>190</v>
      </c>
      <c r="C185" t="s">
        <v>247</v>
      </c>
      <c r="D185">
        <v>352</v>
      </c>
      <c r="E185">
        <v>30.98</v>
      </c>
      <c r="F185">
        <v>108</v>
      </c>
      <c r="G185">
        <v>35</v>
      </c>
      <c r="H185">
        <v>9.94</v>
      </c>
      <c r="I185" s="3">
        <f>Table13[[#This Row],[Bounce Rate]]/100</f>
        <v>0.30980000000000002</v>
      </c>
      <c r="J185" s="3">
        <f>Table13[[#This Row],[Conversion Rate ]]/100</f>
        <v>9.9399999999999988E-2</v>
      </c>
      <c r="K185" s="5">
        <f>Table13[[#This Row],[Avg Session Duration (sec)]]/60</f>
        <v>1.8</v>
      </c>
    </row>
    <row r="186" spans="1:11" x14ac:dyDescent="0.25">
      <c r="A186" s="6">
        <v>45842</v>
      </c>
      <c r="B186" s="7" t="s">
        <v>191</v>
      </c>
      <c r="C186" t="s">
        <v>247</v>
      </c>
      <c r="D186">
        <v>105</v>
      </c>
      <c r="E186">
        <v>34.869999999999997</v>
      </c>
      <c r="F186">
        <v>182</v>
      </c>
      <c r="G186">
        <v>7</v>
      </c>
      <c r="H186">
        <v>6.67</v>
      </c>
      <c r="I186" s="3">
        <f>Table13[[#This Row],[Bounce Rate]]/100</f>
        <v>0.34869999999999995</v>
      </c>
      <c r="J186" s="3">
        <f>Table13[[#This Row],[Conversion Rate ]]/100</f>
        <v>6.6699999999999995E-2</v>
      </c>
      <c r="K186" s="5">
        <f>Table13[[#This Row],[Avg Session Duration (sec)]]/60</f>
        <v>3.0333333333333332</v>
      </c>
    </row>
    <row r="187" spans="1:11" x14ac:dyDescent="0.25">
      <c r="A187" s="6">
        <v>45843</v>
      </c>
      <c r="B187" s="7" t="s">
        <v>192</v>
      </c>
      <c r="C187" t="s">
        <v>249</v>
      </c>
      <c r="D187">
        <v>549</v>
      </c>
      <c r="E187">
        <v>61.04</v>
      </c>
      <c r="F187">
        <v>203</v>
      </c>
      <c r="G187">
        <v>6</v>
      </c>
      <c r="H187">
        <v>1.0900000000000001</v>
      </c>
      <c r="I187" s="3">
        <f>Table13[[#This Row],[Bounce Rate]]/100</f>
        <v>0.61039999999999994</v>
      </c>
      <c r="J187" s="3">
        <f>Table13[[#This Row],[Conversion Rate ]]/100</f>
        <v>1.09E-2</v>
      </c>
      <c r="K187" s="5">
        <f>Table13[[#This Row],[Avg Session Duration (sec)]]/60</f>
        <v>3.3833333333333333</v>
      </c>
    </row>
    <row r="188" spans="1:11" x14ac:dyDescent="0.25">
      <c r="A188" s="6">
        <v>45844</v>
      </c>
      <c r="B188" s="7" t="s">
        <v>193</v>
      </c>
      <c r="C188" t="s">
        <v>249</v>
      </c>
      <c r="D188">
        <v>141</v>
      </c>
      <c r="E188">
        <v>47.84</v>
      </c>
      <c r="F188">
        <v>169</v>
      </c>
      <c r="G188">
        <v>10</v>
      </c>
      <c r="H188">
        <v>7.09</v>
      </c>
      <c r="I188" s="3">
        <f>Table13[[#This Row],[Bounce Rate]]/100</f>
        <v>0.47840000000000005</v>
      </c>
      <c r="J188" s="3">
        <f>Table13[[#This Row],[Conversion Rate ]]/100</f>
        <v>7.0900000000000005E-2</v>
      </c>
      <c r="K188" s="5">
        <f>Table13[[#This Row],[Avg Session Duration (sec)]]/60</f>
        <v>2.8166666666666669</v>
      </c>
    </row>
    <row r="189" spans="1:11" x14ac:dyDescent="0.25">
      <c r="A189" s="6">
        <v>45845</v>
      </c>
      <c r="B189" s="7" t="s">
        <v>194</v>
      </c>
      <c r="C189" t="s">
        <v>247</v>
      </c>
      <c r="D189">
        <v>286</v>
      </c>
      <c r="E189">
        <v>48.15</v>
      </c>
      <c r="F189">
        <v>295</v>
      </c>
      <c r="G189">
        <v>11</v>
      </c>
      <c r="H189">
        <v>3.85</v>
      </c>
      <c r="I189" s="3">
        <f>Table13[[#This Row],[Bounce Rate]]/100</f>
        <v>0.48149999999999998</v>
      </c>
      <c r="J189" s="3">
        <f>Table13[[#This Row],[Conversion Rate ]]/100</f>
        <v>3.85E-2</v>
      </c>
      <c r="K189" s="5">
        <f>Table13[[#This Row],[Avg Session Duration (sec)]]/60</f>
        <v>4.916666666666667</v>
      </c>
    </row>
    <row r="190" spans="1:11" x14ac:dyDescent="0.25">
      <c r="A190" s="6">
        <v>45846</v>
      </c>
      <c r="B190" s="7" t="s">
        <v>195</v>
      </c>
      <c r="C190" t="s">
        <v>251</v>
      </c>
      <c r="D190">
        <v>547</v>
      </c>
      <c r="E190">
        <v>30.81</v>
      </c>
      <c r="F190">
        <v>139</v>
      </c>
      <c r="G190">
        <v>14</v>
      </c>
      <c r="H190">
        <v>2.56</v>
      </c>
      <c r="I190" s="3">
        <f>Table13[[#This Row],[Bounce Rate]]/100</f>
        <v>0.30809999999999998</v>
      </c>
      <c r="J190" s="3">
        <f>Table13[[#This Row],[Conversion Rate ]]/100</f>
        <v>2.5600000000000001E-2</v>
      </c>
      <c r="K190" s="5">
        <f>Table13[[#This Row],[Avg Session Duration (sec)]]/60</f>
        <v>2.3166666666666669</v>
      </c>
    </row>
    <row r="191" spans="1:11" x14ac:dyDescent="0.25">
      <c r="A191" s="6">
        <v>45847</v>
      </c>
      <c r="B191" s="7" t="s">
        <v>196</v>
      </c>
      <c r="C191" t="s">
        <v>248</v>
      </c>
      <c r="D191">
        <v>403</v>
      </c>
      <c r="E191">
        <v>43.72</v>
      </c>
      <c r="F191">
        <v>305</v>
      </c>
      <c r="G191">
        <v>2</v>
      </c>
      <c r="H191">
        <v>0.5</v>
      </c>
      <c r="I191" s="3">
        <f>Table13[[#This Row],[Bounce Rate]]/100</f>
        <v>0.43719999999999998</v>
      </c>
      <c r="J191" s="3">
        <f>Table13[[#This Row],[Conversion Rate ]]/100</f>
        <v>5.0000000000000001E-3</v>
      </c>
      <c r="K191" s="5">
        <f>Table13[[#This Row],[Avg Session Duration (sec)]]/60</f>
        <v>5.083333333333333</v>
      </c>
    </row>
    <row r="192" spans="1:11" x14ac:dyDescent="0.25">
      <c r="A192" s="6">
        <v>45848</v>
      </c>
      <c r="B192" s="7" t="s">
        <v>197</v>
      </c>
      <c r="C192" t="s">
        <v>247</v>
      </c>
      <c r="D192">
        <v>87</v>
      </c>
      <c r="E192">
        <v>27.61</v>
      </c>
      <c r="F192">
        <v>217</v>
      </c>
      <c r="G192">
        <v>36</v>
      </c>
      <c r="H192">
        <v>41.38</v>
      </c>
      <c r="I192" s="3">
        <f>Table13[[#This Row],[Bounce Rate]]/100</f>
        <v>0.27610000000000001</v>
      </c>
      <c r="J192" s="3">
        <f>Table13[[#This Row],[Conversion Rate ]]/100</f>
        <v>0.4138</v>
      </c>
      <c r="K192" s="5">
        <f>Table13[[#This Row],[Avg Session Duration (sec)]]/60</f>
        <v>3.6166666666666667</v>
      </c>
    </row>
    <row r="193" spans="1:11" x14ac:dyDescent="0.25">
      <c r="A193" s="6">
        <v>45849</v>
      </c>
      <c r="B193" s="7" t="s">
        <v>198</v>
      </c>
      <c r="C193" t="s">
        <v>249</v>
      </c>
      <c r="D193">
        <v>351</v>
      </c>
      <c r="E193">
        <v>30.38</v>
      </c>
      <c r="F193">
        <v>343</v>
      </c>
      <c r="G193">
        <v>6</v>
      </c>
      <c r="H193">
        <v>1.71</v>
      </c>
      <c r="I193" s="3">
        <f>Table13[[#This Row],[Bounce Rate]]/100</f>
        <v>0.30380000000000001</v>
      </c>
      <c r="J193" s="3">
        <f>Table13[[#This Row],[Conversion Rate ]]/100</f>
        <v>1.7100000000000001E-2</v>
      </c>
      <c r="K193" s="5">
        <f>Table13[[#This Row],[Avg Session Duration (sec)]]/60</f>
        <v>5.7166666666666668</v>
      </c>
    </row>
    <row r="194" spans="1:11" x14ac:dyDescent="0.25">
      <c r="A194" s="6">
        <v>45850</v>
      </c>
      <c r="B194" s="7" t="s">
        <v>199</v>
      </c>
      <c r="C194" t="s">
        <v>247</v>
      </c>
      <c r="D194">
        <v>361</v>
      </c>
      <c r="E194">
        <v>53.32</v>
      </c>
      <c r="F194">
        <v>240</v>
      </c>
      <c r="G194">
        <v>5</v>
      </c>
      <c r="H194">
        <v>1.39</v>
      </c>
      <c r="I194" s="3">
        <f>Table13[[#This Row],[Bounce Rate]]/100</f>
        <v>0.53320000000000001</v>
      </c>
      <c r="J194" s="3">
        <f>Table13[[#This Row],[Conversion Rate ]]/100</f>
        <v>1.3899999999999999E-2</v>
      </c>
      <c r="K194" s="5">
        <f>Table13[[#This Row],[Avg Session Duration (sec)]]/60</f>
        <v>4</v>
      </c>
    </row>
    <row r="195" spans="1:11" x14ac:dyDescent="0.25">
      <c r="A195" s="6">
        <v>45851</v>
      </c>
      <c r="B195" s="7" t="s">
        <v>200</v>
      </c>
      <c r="C195" t="s">
        <v>252</v>
      </c>
      <c r="D195">
        <v>544</v>
      </c>
      <c r="E195">
        <v>30.8</v>
      </c>
      <c r="F195">
        <v>191</v>
      </c>
      <c r="G195">
        <v>12</v>
      </c>
      <c r="H195">
        <v>2.21</v>
      </c>
      <c r="I195" s="3">
        <f>Table13[[#This Row],[Bounce Rate]]/100</f>
        <v>0.308</v>
      </c>
      <c r="J195" s="3">
        <f>Table13[[#This Row],[Conversion Rate ]]/100</f>
        <v>2.2099999999999998E-2</v>
      </c>
      <c r="K195" s="5">
        <f>Table13[[#This Row],[Avg Session Duration (sec)]]/60</f>
        <v>3.1833333333333331</v>
      </c>
    </row>
    <row r="196" spans="1:11" x14ac:dyDescent="0.25">
      <c r="A196" s="6">
        <v>45852</v>
      </c>
      <c r="B196" s="7" t="s">
        <v>201</v>
      </c>
      <c r="C196" t="s">
        <v>249</v>
      </c>
      <c r="D196">
        <v>276</v>
      </c>
      <c r="E196">
        <v>32.75</v>
      </c>
      <c r="F196">
        <v>215</v>
      </c>
      <c r="G196">
        <v>19</v>
      </c>
      <c r="H196">
        <v>6.88</v>
      </c>
      <c r="I196" s="3">
        <f>Table13[[#This Row],[Bounce Rate]]/100</f>
        <v>0.32750000000000001</v>
      </c>
      <c r="J196" s="3">
        <f>Table13[[#This Row],[Conversion Rate ]]/100</f>
        <v>6.88E-2</v>
      </c>
      <c r="K196" s="5">
        <f>Table13[[#This Row],[Avg Session Duration (sec)]]/60</f>
        <v>3.5833333333333335</v>
      </c>
    </row>
    <row r="197" spans="1:11" x14ac:dyDescent="0.25">
      <c r="A197" s="6">
        <v>45853</v>
      </c>
      <c r="B197" s="7" t="s">
        <v>202</v>
      </c>
      <c r="C197" t="s">
        <v>252</v>
      </c>
      <c r="D197">
        <v>112</v>
      </c>
      <c r="E197">
        <v>69.06</v>
      </c>
      <c r="F197">
        <v>204</v>
      </c>
      <c r="G197">
        <v>10</v>
      </c>
      <c r="H197">
        <v>8.93</v>
      </c>
      <c r="I197" s="3">
        <f>Table13[[#This Row],[Bounce Rate]]/100</f>
        <v>0.69059999999999999</v>
      </c>
      <c r="J197" s="3">
        <f>Table13[[#This Row],[Conversion Rate ]]/100</f>
        <v>8.929999999999999E-2</v>
      </c>
      <c r="K197" s="5">
        <f>Table13[[#This Row],[Avg Session Duration (sec)]]/60</f>
        <v>3.4</v>
      </c>
    </row>
    <row r="198" spans="1:11" x14ac:dyDescent="0.25">
      <c r="A198" s="6">
        <v>45854</v>
      </c>
      <c r="B198" s="7" t="s">
        <v>203</v>
      </c>
      <c r="C198" t="s">
        <v>251</v>
      </c>
      <c r="D198">
        <v>119</v>
      </c>
      <c r="E198">
        <v>62.39</v>
      </c>
      <c r="F198">
        <v>306</v>
      </c>
      <c r="G198">
        <v>5</v>
      </c>
      <c r="H198">
        <v>4.2</v>
      </c>
      <c r="I198" s="3">
        <f>Table13[[#This Row],[Bounce Rate]]/100</f>
        <v>0.62390000000000001</v>
      </c>
      <c r="J198" s="3">
        <f>Table13[[#This Row],[Conversion Rate ]]/100</f>
        <v>4.2000000000000003E-2</v>
      </c>
      <c r="K198" s="5">
        <f>Table13[[#This Row],[Avg Session Duration (sec)]]/60</f>
        <v>5.0999999999999996</v>
      </c>
    </row>
    <row r="199" spans="1:11" x14ac:dyDescent="0.25">
      <c r="A199" s="6">
        <v>45855</v>
      </c>
      <c r="B199" s="7" t="s">
        <v>204</v>
      </c>
      <c r="C199" t="s">
        <v>249</v>
      </c>
      <c r="D199">
        <v>456</v>
      </c>
      <c r="E199">
        <v>48.02</v>
      </c>
      <c r="F199">
        <v>247</v>
      </c>
      <c r="G199">
        <v>28</v>
      </c>
      <c r="H199">
        <v>6.14</v>
      </c>
      <c r="I199" s="3">
        <f>Table13[[#This Row],[Bounce Rate]]/100</f>
        <v>0.48020000000000002</v>
      </c>
      <c r="J199" s="3">
        <f>Table13[[#This Row],[Conversion Rate ]]/100</f>
        <v>6.1399999999999996E-2</v>
      </c>
      <c r="K199" s="5">
        <f>Table13[[#This Row],[Avg Session Duration (sec)]]/60</f>
        <v>4.1166666666666663</v>
      </c>
    </row>
    <row r="200" spans="1:11" x14ac:dyDescent="0.25">
      <c r="A200" s="6">
        <v>45856</v>
      </c>
      <c r="B200" s="7" t="s">
        <v>205</v>
      </c>
      <c r="C200" t="s">
        <v>250</v>
      </c>
      <c r="D200">
        <v>82</v>
      </c>
      <c r="E200">
        <v>48.09</v>
      </c>
      <c r="F200">
        <v>140</v>
      </c>
      <c r="G200">
        <v>26</v>
      </c>
      <c r="H200">
        <v>31.71</v>
      </c>
      <c r="I200" s="3">
        <f>Table13[[#This Row],[Bounce Rate]]/100</f>
        <v>0.48090000000000005</v>
      </c>
      <c r="J200" s="3">
        <f>Table13[[#This Row],[Conversion Rate ]]/100</f>
        <v>0.31709999999999999</v>
      </c>
      <c r="K200" s="5">
        <f>Table13[[#This Row],[Avg Session Duration (sec)]]/60</f>
        <v>2.3333333333333335</v>
      </c>
    </row>
    <row r="201" spans="1:11" x14ac:dyDescent="0.25">
      <c r="A201" s="6">
        <v>45857</v>
      </c>
      <c r="B201" s="7" t="s">
        <v>206</v>
      </c>
      <c r="C201" t="s">
        <v>252</v>
      </c>
      <c r="D201">
        <v>230</v>
      </c>
      <c r="E201">
        <v>51.05</v>
      </c>
      <c r="F201">
        <v>300</v>
      </c>
      <c r="G201">
        <v>3</v>
      </c>
      <c r="H201">
        <v>1.3</v>
      </c>
      <c r="I201" s="3">
        <f>Table13[[#This Row],[Bounce Rate]]/100</f>
        <v>0.51049999999999995</v>
      </c>
      <c r="J201" s="3">
        <f>Table13[[#This Row],[Conversion Rate ]]/100</f>
        <v>1.3000000000000001E-2</v>
      </c>
      <c r="K201" s="5">
        <f>Table13[[#This Row],[Avg Session Duration (sec)]]/60</f>
        <v>5</v>
      </c>
    </row>
    <row r="202" spans="1:11" x14ac:dyDescent="0.25">
      <c r="A202" s="6">
        <v>45858</v>
      </c>
      <c r="B202" s="7" t="s">
        <v>207</v>
      </c>
      <c r="C202" t="s">
        <v>248</v>
      </c>
      <c r="D202">
        <v>421</v>
      </c>
      <c r="E202">
        <v>29.05</v>
      </c>
      <c r="F202">
        <v>137</v>
      </c>
      <c r="G202">
        <v>40</v>
      </c>
      <c r="H202">
        <v>9.5</v>
      </c>
      <c r="I202" s="3">
        <f>Table13[[#This Row],[Bounce Rate]]/100</f>
        <v>0.29049999999999998</v>
      </c>
      <c r="J202" s="3">
        <f>Table13[[#This Row],[Conversion Rate ]]/100</f>
        <v>9.5000000000000001E-2</v>
      </c>
      <c r="K202" s="5">
        <f>Table13[[#This Row],[Avg Session Duration (sec)]]/60</f>
        <v>2.2833333333333332</v>
      </c>
    </row>
    <row r="203" spans="1:11" x14ac:dyDescent="0.25">
      <c r="A203" s="6">
        <v>45859</v>
      </c>
      <c r="B203" s="7" t="s">
        <v>208</v>
      </c>
      <c r="C203" t="s">
        <v>247</v>
      </c>
      <c r="D203">
        <v>79</v>
      </c>
      <c r="E203">
        <v>54.51</v>
      </c>
      <c r="F203">
        <v>310</v>
      </c>
      <c r="G203">
        <v>42</v>
      </c>
      <c r="H203">
        <v>53.16</v>
      </c>
      <c r="I203" s="3">
        <f>Table13[[#This Row],[Bounce Rate]]/100</f>
        <v>0.54510000000000003</v>
      </c>
      <c r="J203" s="3">
        <f>Table13[[#This Row],[Conversion Rate ]]/100</f>
        <v>0.53159999999999996</v>
      </c>
      <c r="K203" s="5">
        <f>Table13[[#This Row],[Avg Session Duration (sec)]]/60</f>
        <v>5.166666666666667</v>
      </c>
    </row>
    <row r="204" spans="1:11" x14ac:dyDescent="0.25">
      <c r="A204" s="6">
        <v>45860</v>
      </c>
      <c r="B204" s="7" t="s">
        <v>209</v>
      </c>
      <c r="C204" t="s">
        <v>250</v>
      </c>
      <c r="D204">
        <v>126</v>
      </c>
      <c r="E204">
        <v>59.94</v>
      </c>
      <c r="F204">
        <v>78</v>
      </c>
      <c r="G204">
        <v>17</v>
      </c>
      <c r="H204">
        <v>13.49</v>
      </c>
      <c r="I204" s="3">
        <f>Table13[[#This Row],[Bounce Rate]]/100</f>
        <v>0.59939999999999993</v>
      </c>
      <c r="J204" s="3">
        <f>Table13[[#This Row],[Conversion Rate ]]/100</f>
        <v>0.13489999999999999</v>
      </c>
      <c r="K204" s="5">
        <f>Table13[[#This Row],[Avg Session Duration (sec)]]/60</f>
        <v>1.3</v>
      </c>
    </row>
    <row r="205" spans="1:11" x14ac:dyDescent="0.25">
      <c r="A205" s="6">
        <v>45861</v>
      </c>
      <c r="B205" s="7" t="s">
        <v>210</v>
      </c>
      <c r="C205" t="s">
        <v>251</v>
      </c>
      <c r="D205">
        <v>406</v>
      </c>
      <c r="E205">
        <v>29.53</v>
      </c>
      <c r="F205">
        <v>325</v>
      </c>
      <c r="G205">
        <v>2</v>
      </c>
      <c r="H205">
        <v>0.49</v>
      </c>
      <c r="I205" s="3">
        <f>Table13[[#This Row],[Bounce Rate]]/100</f>
        <v>0.29530000000000001</v>
      </c>
      <c r="J205" s="3">
        <f>Table13[[#This Row],[Conversion Rate ]]/100</f>
        <v>4.8999999999999998E-3</v>
      </c>
      <c r="K205" s="5">
        <f>Table13[[#This Row],[Avg Session Duration (sec)]]/60</f>
        <v>5.416666666666667</v>
      </c>
    </row>
    <row r="206" spans="1:11" x14ac:dyDescent="0.25">
      <c r="A206" s="6">
        <v>45862</v>
      </c>
      <c r="B206" s="7" t="s">
        <v>211</v>
      </c>
      <c r="C206" t="s">
        <v>252</v>
      </c>
      <c r="D206">
        <v>50</v>
      </c>
      <c r="E206">
        <v>26.54</v>
      </c>
      <c r="F206">
        <v>186</v>
      </c>
      <c r="G206">
        <v>35</v>
      </c>
      <c r="H206">
        <v>70</v>
      </c>
      <c r="I206" s="3">
        <f>Table13[[#This Row],[Bounce Rate]]/100</f>
        <v>0.26539999999999997</v>
      </c>
      <c r="J206" s="3">
        <f>Table13[[#This Row],[Conversion Rate ]]/100</f>
        <v>0.7</v>
      </c>
      <c r="K206" s="5">
        <f>Table13[[#This Row],[Avg Session Duration (sec)]]/60</f>
        <v>3.1</v>
      </c>
    </row>
    <row r="207" spans="1:11" x14ac:dyDescent="0.25">
      <c r="A207" s="6">
        <v>45863</v>
      </c>
      <c r="B207" s="7" t="s">
        <v>212</v>
      </c>
      <c r="C207" t="s">
        <v>249</v>
      </c>
      <c r="D207">
        <v>279</v>
      </c>
      <c r="E207">
        <v>56.51</v>
      </c>
      <c r="F207">
        <v>325</v>
      </c>
      <c r="G207">
        <v>31</v>
      </c>
      <c r="H207">
        <v>11.11</v>
      </c>
      <c r="I207" s="3">
        <f>Table13[[#This Row],[Bounce Rate]]/100</f>
        <v>0.56509999999999994</v>
      </c>
      <c r="J207" s="3">
        <f>Table13[[#This Row],[Conversion Rate ]]/100</f>
        <v>0.11109999999999999</v>
      </c>
      <c r="K207" s="5">
        <f>Table13[[#This Row],[Avg Session Duration (sec)]]/60</f>
        <v>5.416666666666667</v>
      </c>
    </row>
    <row r="208" spans="1:11" x14ac:dyDescent="0.25">
      <c r="A208" s="6">
        <v>45864</v>
      </c>
      <c r="B208" s="7" t="s">
        <v>213</v>
      </c>
      <c r="C208" t="s">
        <v>250</v>
      </c>
      <c r="D208">
        <v>52</v>
      </c>
      <c r="E208">
        <v>62.32</v>
      </c>
      <c r="F208">
        <v>190</v>
      </c>
      <c r="G208">
        <v>6</v>
      </c>
      <c r="H208">
        <v>11.54</v>
      </c>
      <c r="I208" s="3">
        <f>Table13[[#This Row],[Bounce Rate]]/100</f>
        <v>0.62319999999999998</v>
      </c>
      <c r="J208" s="3">
        <f>Table13[[#This Row],[Conversion Rate ]]/100</f>
        <v>0.11539999999999999</v>
      </c>
      <c r="K208" s="5">
        <f>Table13[[#This Row],[Avg Session Duration (sec)]]/60</f>
        <v>3.1666666666666665</v>
      </c>
    </row>
    <row r="209" spans="1:11" x14ac:dyDescent="0.25">
      <c r="A209" s="6">
        <v>45865</v>
      </c>
      <c r="B209" s="7" t="s">
        <v>214</v>
      </c>
      <c r="C209" t="s">
        <v>250</v>
      </c>
      <c r="D209">
        <v>391</v>
      </c>
      <c r="E209">
        <v>69.47</v>
      </c>
      <c r="F209">
        <v>128</v>
      </c>
      <c r="G209">
        <v>39</v>
      </c>
      <c r="H209">
        <v>9.9700000000000006</v>
      </c>
      <c r="I209" s="3">
        <f>Table13[[#This Row],[Bounce Rate]]/100</f>
        <v>0.69469999999999998</v>
      </c>
      <c r="J209" s="3">
        <f>Table13[[#This Row],[Conversion Rate ]]/100</f>
        <v>9.9700000000000011E-2</v>
      </c>
      <c r="K209" s="5">
        <f>Table13[[#This Row],[Avg Session Duration (sec)]]/60</f>
        <v>2.1333333333333333</v>
      </c>
    </row>
    <row r="210" spans="1:11" x14ac:dyDescent="0.25">
      <c r="A210" s="6">
        <v>45866</v>
      </c>
      <c r="B210" s="7" t="s">
        <v>215</v>
      </c>
      <c r="C210" t="s">
        <v>250</v>
      </c>
      <c r="D210">
        <v>379</v>
      </c>
      <c r="E210">
        <v>63.24</v>
      </c>
      <c r="F210">
        <v>318</v>
      </c>
      <c r="G210">
        <v>27</v>
      </c>
      <c r="H210">
        <v>7.12</v>
      </c>
      <c r="I210" s="3">
        <f>Table13[[#This Row],[Bounce Rate]]/100</f>
        <v>0.63240000000000007</v>
      </c>
      <c r="J210" s="3">
        <f>Table13[[#This Row],[Conversion Rate ]]/100</f>
        <v>7.1199999999999999E-2</v>
      </c>
      <c r="K210" s="5">
        <f>Table13[[#This Row],[Avg Session Duration (sec)]]/60</f>
        <v>5.3</v>
      </c>
    </row>
    <row r="211" spans="1:11" x14ac:dyDescent="0.25">
      <c r="A211" s="6">
        <v>45867</v>
      </c>
      <c r="B211" s="7" t="s">
        <v>216</v>
      </c>
      <c r="C211" t="s">
        <v>247</v>
      </c>
      <c r="D211">
        <v>169</v>
      </c>
      <c r="E211">
        <v>34.590000000000003</v>
      </c>
      <c r="F211">
        <v>254</v>
      </c>
      <c r="G211">
        <v>12</v>
      </c>
      <c r="H211">
        <v>7.1</v>
      </c>
      <c r="I211" s="3">
        <f>Table13[[#This Row],[Bounce Rate]]/100</f>
        <v>0.34590000000000004</v>
      </c>
      <c r="J211" s="3">
        <f>Table13[[#This Row],[Conversion Rate ]]/100</f>
        <v>7.0999999999999994E-2</v>
      </c>
      <c r="K211" s="5">
        <f>Table13[[#This Row],[Avg Session Duration (sec)]]/60</f>
        <v>4.2333333333333334</v>
      </c>
    </row>
    <row r="212" spans="1:11" x14ac:dyDescent="0.25">
      <c r="A212" s="6">
        <v>45868</v>
      </c>
      <c r="B212" s="7" t="s">
        <v>217</v>
      </c>
      <c r="C212" t="s">
        <v>251</v>
      </c>
      <c r="D212">
        <v>487</v>
      </c>
      <c r="E212">
        <v>48.53</v>
      </c>
      <c r="F212">
        <v>212</v>
      </c>
      <c r="G212">
        <v>4</v>
      </c>
      <c r="H212">
        <v>0.82</v>
      </c>
      <c r="I212" s="3">
        <f>Table13[[#This Row],[Bounce Rate]]/100</f>
        <v>0.48530000000000001</v>
      </c>
      <c r="J212" s="3">
        <f>Table13[[#This Row],[Conversion Rate ]]/100</f>
        <v>8.199999999999999E-3</v>
      </c>
      <c r="K212" s="5">
        <f>Table13[[#This Row],[Avg Session Duration (sec)]]/60</f>
        <v>3.5333333333333332</v>
      </c>
    </row>
    <row r="213" spans="1:11" x14ac:dyDescent="0.25">
      <c r="A213" s="6">
        <v>45869</v>
      </c>
      <c r="B213" s="7" t="s">
        <v>218</v>
      </c>
      <c r="C213" t="s">
        <v>251</v>
      </c>
      <c r="D213">
        <v>102</v>
      </c>
      <c r="E213">
        <v>57.91</v>
      </c>
      <c r="F213">
        <v>313</v>
      </c>
      <c r="G213">
        <v>34</v>
      </c>
      <c r="H213">
        <v>33.33</v>
      </c>
      <c r="I213" s="3">
        <f>Table13[[#This Row],[Bounce Rate]]/100</f>
        <v>0.57909999999999995</v>
      </c>
      <c r="J213" s="3">
        <f>Table13[[#This Row],[Conversion Rate ]]/100</f>
        <v>0.33329999999999999</v>
      </c>
      <c r="K213" s="5">
        <f>Table13[[#This Row],[Avg Session Duration (sec)]]/60</f>
        <v>5.2166666666666668</v>
      </c>
    </row>
    <row r="214" spans="1:11" x14ac:dyDescent="0.25">
      <c r="A214" s="6">
        <v>45870</v>
      </c>
      <c r="B214" s="7" t="s">
        <v>219</v>
      </c>
      <c r="C214" t="s">
        <v>249</v>
      </c>
      <c r="D214">
        <v>186</v>
      </c>
      <c r="E214">
        <v>61.46</v>
      </c>
      <c r="F214">
        <v>314</v>
      </c>
      <c r="G214">
        <v>25</v>
      </c>
      <c r="H214">
        <v>13.44</v>
      </c>
      <c r="I214" s="3">
        <f>Table13[[#This Row],[Bounce Rate]]/100</f>
        <v>0.61460000000000004</v>
      </c>
      <c r="J214" s="3">
        <f>Table13[[#This Row],[Conversion Rate ]]/100</f>
        <v>0.13439999999999999</v>
      </c>
      <c r="K214" s="5">
        <f>Table13[[#This Row],[Avg Session Duration (sec)]]/60</f>
        <v>5.2333333333333334</v>
      </c>
    </row>
    <row r="215" spans="1:11" x14ac:dyDescent="0.25">
      <c r="A215" s="6">
        <v>45871</v>
      </c>
      <c r="B215" s="7" t="s">
        <v>220</v>
      </c>
      <c r="C215" t="s">
        <v>252</v>
      </c>
      <c r="D215">
        <v>345</v>
      </c>
      <c r="E215">
        <v>46.24</v>
      </c>
      <c r="F215">
        <v>276</v>
      </c>
      <c r="G215">
        <v>15</v>
      </c>
      <c r="H215">
        <v>4.3499999999999996</v>
      </c>
      <c r="I215" s="3">
        <f>Table13[[#This Row],[Bounce Rate]]/100</f>
        <v>0.46240000000000003</v>
      </c>
      <c r="J215" s="3">
        <f>Table13[[#This Row],[Conversion Rate ]]/100</f>
        <v>4.3499999999999997E-2</v>
      </c>
      <c r="K215" s="5">
        <f>Table13[[#This Row],[Avg Session Duration (sec)]]/60</f>
        <v>4.5999999999999996</v>
      </c>
    </row>
    <row r="216" spans="1:11" x14ac:dyDescent="0.25">
      <c r="A216" s="6">
        <v>45872</v>
      </c>
      <c r="B216" s="7" t="s">
        <v>221</v>
      </c>
      <c r="C216" t="s">
        <v>247</v>
      </c>
      <c r="D216">
        <v>373</v>
      </c>
      <c r="E216">
        <v>28.84</v>
      </c>
      <c r="F216">
        <v>234</v>
      </c>
      <c r="G216">
        <v>18</v>
      </c>
      <c r="H216">
        <v>4.83</v>
      </c>
      <c r="I216" s="3">
        <f>Table13[[#This Row],[Bounce Rate]]/100</f>
        <v>0.28839999999999999</v>
      </c>
      <c r="J216" s="3">
        <f>Table13[[#This Row],[Conversion Rate ]]/100</f>
        <v>4.8300000000000003E-2</v>
      </c>
      <c r="K216" s="5">
        <f>Table13[[#This Row],[Avg Session Duration (sec)]]/60</f>
        <v>3.9</v>
      </c>
    </row>
    <row r="217" spans="1:11" x14ac:dyDescent="0.25">
      <c r="A217" s="6">
        <v>45873</v>
      </c>
      <c r="B217" s="7" t="s">
        <v>222</v>
      </c>
      <c r="C217" t="s">
        <v>251</v>
      </c>
      <c r="D217">
        <v>545</v>
      </c>
      <c r="E217">
        <v>57.4</v>
      </c>
      <c r="F217">
        <v>240</v>
      </c>
      <c r="G217">
        <v>33</v>
      </c>
      <c r="H217">
        <v>6.06</v>
      </c>
      <c r="I217" s="3">
        <f>Table13[[#This Row],[Bounce Rate]]/100</f>
        <v>0.57399999999999995</v>
      </c>
      <c r="J217" s="3">
        <f>Table13[[#This Row],[Conversion Rate ]]/100</f>
        <v>6.0599999999999994E-2</v>
      </c>
      <c r="K217" s="5">
        <f>Table13[[#This Row],[Avg Session Duration (sec)]]/60</f>
        <v>4</v>
      </c>
    </row>
    <row r="218" spans="1:11" x14ac:dyDescent="0.25">
      <c r="A218" s="6">
        <v>45874</v>
      </c>
      <c r="B218" s="7" t="s">
        <v>223</v>
      </c>
      <c r="C218" t="s">
        <v>248</v>
      </c>
      <c r="D218">
        <v>383</v>
      </c>
      <c r="E218">
        <v>35.479999999999997</v>
      </c>
      <c r="F218">
        <v>182</v>
      </c>
      <c r="G218">
        <v>2</v>
      </c>
      <c r="H218">
        <v>0.52</v>
      </c>
      <c r="I218" s="3">
        <f>Table13[[#This Row],[Bounce Rate]]/100</f>
        <v>0.35479999999999995</v>
      </c>
      <c r="J218" s="3">
        <f>Table13[[#This Row],[Conversion Rate ]]/100</f>
        <v>5.1999999999999998E-3</v>
      </c>
      <c r="K218" s="5">
        <f>Table13[[#This Row],[Avg Session Duration (sec)]]/60</f>
        <v>3.0333333333333332</v>
      </c>
    </row>
    <row r="219" spans="1:11" x14ac:dyDescent="0.25">
      <c r="A219" s="6">
        <v>45875</v>
      </c>
      <c r="B219" s="7" t="s">
        <v>224</v>
      </c>
      <c r="C219" t="s">
        <v>252</v>
      </c>
      <c r="D219">
        <v>66</v>
      </c>
      <c r="E219">
        <v>63.4</v>
      </c>
      <c r="F219">
        <v>262</v>
      </c>
      <c r="G219">
        <v>37</v>
      </c>
      <c r="H219">
        <v>56.06</v>
      </c>
      <c r="I219" s="3">
        <f>Table13[[#This Row],[Bounce Rate]]/100</f>
        <v>0.63400000000000001</v>
      </c>
      <c r="J219" s="3">
        <f>Table13[[#This Row],[Conversion Rate ]]/100</f>
        <v>0.56059999999999999</v>
      </c>
      <c r="K219" s="5">
        <f>Table13[[#This Row],[Avg Session Duration (sec)]]/60</f>
        <v>4.3666666666666663</v>
      </c>
    </row>
    <row r="220" spans="1:11" x14ac:dyDescent="0.25">
      <c r="A220" s="6">
        <v>45876</v>
      </c>
      <c r="B220" s="7" t="s">
        <v>225</v>
      </c>
      <c r="C220" t="s">
        <v>248</v>
      </c>
      <c r="D220">
        <v>52</v>
      </c>
      <c r="E220">
        <v>50.85</v>
      </c>
      <c r="F220">
        <v>259</v>
      </c>
      <c r="G220">
        <v>25</v>
      </c>
      <c r="H220">
        <v>48.08</v>
      </c>
      <c r="I220" s="3">
        <f>Table13[[#This Row],[Bounce Rate]]/100</f>
        <v>0.50850000000000006</v>
      </c>
      <c r="J220" s="3">
        <f>Table13[[#This Row],[Conversion Rate ]]/100</f>
        <v>0.48080000000000001</v>
      </c>
      <c r="K220" s="5">
        <f>Table13[[#This Row],[Avg Session Duration (sec)]]/60</f>
        <v>4.3166666666666664</v>
      </c>
    </row>
    <row r="221" spans="1:11" x14ac:dyDescent="0.25">
      <c r="A221" s="6">
        <v>45877</v>
      </c>
      <c r="B221" s="7" t="s">
        <v>226</v>
      </c>
      <c r="C221" t="s">
        <v>247</v>
      </c>
      <c r="D221">
        <v>409</v>
      </c>
      <c r="E221">
        <v>30.94</v>
      </c>
      <c r="F221">
        <v>79</v>
      </c>
      <c r="G221">
        <v>26</v>
      </c>
      <c r="H221">
        <v>6.36</v>
      </c>
      <c r="I221" s="3">
        <f>Table13[[#This Row],[Bounce Rate]]/100</f>
        <v>0.30940000000000001</v>
      </c>
      <c r="J221" s="3">
        <f>Table13[[#This Row],[Conversion Rate ]]/100</f>
        <v>6.3600000000000004E-2</v>
      </c>
      <c r="K221" s="5">
        <f>Table13[[#This Row],[Avg Session Duration (sec)]]/60</f>
        <v>1.3166666666666667</v>
      </c>
    </row>
    <row r="222" spans="1:11" x14ac:dyDescent="0.25">
      <c r="A222" s="6">
        <v>45878</v>
      </c>
      <c r="B222" s="7" t="s">
        <v>227</v>
      </c>
      <c r="C222" t="s">
        <v>249</v>
      </c>
      <c r="D222">
        <v>79</v>
      </c>
      <c r="E222">
        <v>59.98</v>
      </c>
      <c r="F222">
        <v>186</v>
      </c>
      <c r="G222">
        <v>21</v>
      </c>
      <c r="H222">
        <v>26.58</v>
      </c>
      <c r="I222" s="3">
        <f>Table13[[#This Row],[Bounce Rate]]/100</f>
        <v>0.5998</v>
      </c>
      <c r="J222" s="3">
        <f>Table13[[#This Row],[Conversion Rate ]]/100</f>
        <v>0.26579999999999998</v>
      </c>
      <c r="K222" s="5">
        <f>Table13[[#This Row],[Avg Session Duration (sec)]]/60</f>
        <v>3.1</v>
      </c>
    </row>
    <row r="223" spans="1:11" x14ac:dyDescent="0.25">
      <c r="A223" s="6">
        <v>45879</v>
      </c>
      <c r="B223" s="7" t="s">
        <v>228</v>
      </c>
      <c r="C223" t="s">
        <v>247</v>
      </c>
      <c r="D223">
        <v>279</v>
      </c>
      <c r="E223">
        <v>37.840000000000003</v>
      </c>
      <c r="F223">
        <v>190</v>
      </c>
      <c r="G223">
        <v>22</v>
      </c>
      <c r="H223">
        <v>7.89</v>
      </c>
      <c r="I223" s="3">
        <f>Table13[[#This Row],[Bounce Rate]]/100</f>
        <v>0.37840000000000001</v>
      </c>
      <c r="J223" s="3">
        <f>Table13[[#This Row],[Conversion Rate ]]/100</f>
        <v>7.8899999999999998E-2</v>
      </c>
      <c r="K223" s="5">
        <f>Table13[[#This Row],[Avg Session Duration (sec)]]/60</f>
        <v>3.1666666666666665</v>
      </c>
    </row>
    <row r="224" spans="1:11" x14ac:dyDescent="0.25">
      <c r="A224" s="6">
        <v>45880</v>
      </c>
      <c r="B224" s="7" t="s">
        <v>229</v>
      </c>
      <c r="C224" t="s">
        <v>252</v>
      </c>
      <c r="D224">
        <v>383</v>
      </c>
      <c r="E224">
        <v>53.74</v>
      </c>
      <c r="F224">
        <v>261</v>
      </c>
      <c r="G224">
        <v>22</v>
      </c>
      <c r="H224">
        <v>5.74</v>
      </c>
      <c r="I224" s="3">
        <f>Table13[[#This Row],[Bounce Rate]]/100</f>
        <v>0.53739999999999999</v>
      </c>
      <c r="J224" s="3">
        <f>Table13[[#This Row],[Conversion Rate ]]/100</f>
        <v>5.74E-2</v>
      </c>
      <c r="K224" s="5">
        <f>Table13[[#This Row],[Avg Session Duration (sec)]]/60</f>
        <v>4.3499999999999996</v>
      </c>
    </row>
    <row r="225" spans="1:11" x14ac:dyDescent="0.25">
      <c r="A225" s="6">
        <v>45881</v>
      </c>
      <c r="B225" s="7" t="s">
        <v>230</v>
      </c>
      <c r="C225" t="s">
        <v>247</v>
      </c>
      <c r="D225">
        <v>241</v>
      </c>
      <c r="E225">
        <v>26.12</v>
      </c>
      <c r="F225">
        <v>353</v>
      </c>
      <c r="G225">
        <v>15</v>
      </c>
      <c r="H225">
        <v>6.22</v>
      </c>
      <c r="I225" s="3">
        <f>Table13[[#This Row],[Bounce Rate]]/100</f>
        <v>0.26119999999999999</v>
      </c>
      <c r="J225" s="3">
        <f>Table13[[#This Row],[Conversion Rate ]]/100</f>
        <v>6.2199999999999998E-2</v>
      </c>
      <c r="K225" s="5">
        <f>Table13[[#This Row],[Avg Session Duration (sec)]]/60</f>
        <v>5.8833333333333337</v>
      </c>
    </row>
    <row r="226" spans="1:11" x14ac:dyDescent="0.25">
      <c r="A226" s="6">
        <v>45882</v>
      </c>
      <c r="B226" s="7" t="s">
        <v>231</v>
      </c>
      <c r="C226" t="s">
        <v>248</v>
      </c>
      <c r="D226">
        <v>242</v>
      </c>
      <c r="E226">
        <v>40.28</v>
      </c>
      <c r="F226">
        <v>359</v>
      </c>
      <c r="G226">
        <v>27</v>
      </c>
      <c r="H226">
        <v>11.16</v>
      </c>
      <c r="I226" s="3">
        <f>Table13[[#This Row],[Bounce Rate]]/100</f>
        <v>0.40279999999999999</v>
      </c>
      <c r="J226" s="3">
        <f>Table13[[#This Row],[Conversion Rate ]]/100</f>
        <v>0.1116</v>
      </c>
      <c r="K226" s="5">
        <f>Table13[[#This Row],[Avg Session Duration (sec)]]/60</f>
        <v>5.9833333333333334</v>
      </c>
    </row>
    <row r="227" spans="1:11" x14ac:dyDescent="0.25">
      <c r="A227" s="6">
        <v>45883</v>
      </c>
      <c r="B227" s="7" t="s">
        <v>232</v>
      </c>
      <c r="C227" t="s">
        <v>252</v>
      </c>
      <c r="D227">
        <v>157</v>
      </c>
      <c r="E227">
        <v>67.92</v>
      </c>
      <c r="F227">
        <v>273</v>
      </c>
      <c r="G227">
        <v>14</v>
      </c>
      <c r="H227">
        <v>8.92</v>
      </c>
      <c r="I227" s="3">
        <f>Table13[[#This Row],[Bounce Rate]]/100</f>
        <v>0.67920000000000003</v>
      </c>
      <c r="J227" s="3">
        <f>Table13[[#This Row],[Conversion Rate ]]/100</f>
        <v>8.9200000000000002E-2</v>
      </c>
      <c r="K227" s="5">
        <f>Table13[[#This Row],[Avg Session Duration (sec)]]/60</f>
        <v>4.55</v>
      </c>
    </row>
    <row r="228" spans="1:11" x14ac:dyDescent="0.25">
      <c r="A228" s="6">
        <v>45884</v>
      </c>
      <c r="B228" s="7" t="s">
        <v>233</v>
      </c>
      <c r="C228" t="s">
        <v>249</v>
      </c>
      <c r="D228">
        <v>289</v>
      </c>
      <c r="E228">
        <v>66.650000000000006</v>
      </c>
      <c r="F228">
        <v>241</v>
      </c>
      <c r="G228">
        <v>29</v>
      </c>
      <c r="H228">
        <v>10.029999999999999</v>
      </c>
      <c r="I228" s="3">
        <f>Table13[[#This Row],[Bounce Rate]]/100</f>
        <v>0.66650000000000009</v>
      </c>
      <c r="J228" s="3">
        <f>Table13[[#This Row],[Conversion Rate ]]/100</f>
        <v>0.1003</v>
      </c>
      <c r="K228" s="5">
        <f>Table13[[#This Row],[Avg Session Duration (sec)]]/60</f>
        <v>4.0166666666666666</v>
      </c>
    </row>
    <row r="229" spans="1:11" x14ac:dyDescent="0.25">
      <c r="A229" s="6">
        <v>45885</v>
      </c>
      <c r="B229" s="7" t="s">
        <v>234</v>
      </c>
      <c r="C229" t="s">
        <v>247</v>
      </c>
      <c r="D229">
        <v>268</v>
      </c>
      <c r="E229">
        <v>36.92</v>
      </c>
      <c r="F229">
        <v>235</v>
      </c>
      <c r="G229">
        <v>1</v>
      </c>
      <c r="H229">
        <v>0.37</v>
      </c>
      <c r="I229" s="3">
        <f>Table13[[#This Row],[Bounce Rate]]/100</f>
        <v>0.36920000000000003</v>
      </c>
      <c r="J229" s="3">
        <f>Table13[[#This Row],[Conversion Rate ]]/100</f>
        <v>3.7000000000000002E-3</v>
      </c>
      <c r="K229" s="5">
        <f>Table13[[#This Row],[Avg Session Duration (sec)]]/60</f>
        <v>3.9166666666666665</v>
      </c>
    </row>
    <row r="230" spans="1:11" x14ac:dyDescent="0.25">
      <c r="A230" s="6">
        <v>45886</v>
      </c>
      <c r="B230" s="7" t="s">
        <v>235</v>
      </c>
      <c r="C230" t="s">
        <v>250</v>
      </c>
      <c r="D230">
        <v>199</v>
      </c>
      <c r="E230">
        <v>39.57</v>
      </c>
      <c r="F230">
        <v>196</v>
      </c>
      <c r="G230">
        <v>12</v>
      </c>
      <c r="H230">
        <v>6.03</v>
      </c>
      <c r="I230" s="3">
        <f>Table13[[#This Row],[Bounce Rate]]/100</f>
        <v>0.3957</v>
      </c>
      <c r="J230" s="3">
        <f>Table13[[#This Row],[Conversion Rate ]]/100</f>
        <v>6.0299999999999999E-2</v>
      </c>
      <c r="K230" s="5">
        <f>Table13[[#This Row],[Avg Session Duration (sec)]]/60</f>
        <v>3.2666666666666666</v>
      </c>
    </row>
    <row r="231" spans="1:11" x14ac:dyDescent="0.25">
      <c r="A231" s="6">
        <v>45887</v>
      </c>
      <c r="B231" s="7" t="s">
        <v>236</v>
      </c>
      <c r="C231" t="s">
        <v>248</v>
      </c>
      <c r="D231">
        <v>288</v>
      </c>
      <c r="E231">
        <v>31.46</v>
      </c>
      <c r="F231">
        <v>219</v>
      </c>
      <c r="G231">
        <v>2</v>
      </c>
      <c r="H231">
        <v>0.69</v>
      </c>
      <c r="I231" s="3">
        <f>Table13[[#This Row],[Bounce Rate]]/100</f>
        <v>0.31459999999999999</v>
      </c>
      <c r="J231" s="3">
        <f>Table13[[#This Row],[Conversion Rate ]]/100</f>
        <v>6.8999999999999999E-3</v>
      </c>
      <c r="K231" s="5">
        <f>Table13[[#This Row],[Avg Session Duration (sec)]]/60</f>
        <v>3.65</v>
      </c>
    </row>
    <row r="232" spans="1:11" x14ac:dyDescent="0.25">
      <c r="A232" s="6">
        <v>45888</v>
      </c>
      <c r="B232" s="7" t="s">
        <v>237</v>
      </c>
      <c r="C232" t="s">
        <v>252</v>
      </c>
      <c r="D232">
        <v>478</v>
      </c>
      <c r="E232">
        <v>26.6</v>
      </c>
      <c r="F232">
        <v>343</v>
      </c>
      <c r="G232">
        <v>38</v>
      </c>
      <c r="H232">
        <v>7.95</v>
      </c>
      <c r="I232" s="3">
        <f>Table13[[#This Row],[Bounce Rate]]/100</f>
        <v>0.26600000000000001</v>
      </c>
      <c r="J232" s="3">
        <f>Table13[[#This Row],[Conversion Rate ]]/100</f>
        <v>7.9500000000000001E-2</v>
      </c>
      <c r="K232" s="5">
        <f>Table13[[#This Row],[Avg Session Duration (sec)]]/60</f>
        <v>5.7166666666666668</v>
      </c>
    </row>
    <row r="233" spans="1:11" x14ac:dyDescent="0.25">
      <c r="A233" s="6">
        <v>45889</v>
      </c>
      <c r="B233" s="7" t="s">
        <v>238</v>
      </c>
      <c r="C233" t="s">
        <v>247</v>
      </c>
      <c r="D233">
        <v>426</v>
      </c>
      <c r="E233">
        <v>55.13</v>
      </c>
      <c r="F233">
        <v>145</v>
      </c>
      <c r="G233">
        <v>9</v>
      </c>
      <c r="H233">
        <v>2.11</v>
      </c>
      <c r="I233" s="3">
        <f>Table13[[#This Row],[Bounce Rate]]/100</f>
        <v>0.55130000000000001</v>
      </c>
      <c r="J233" s="3">
        <f>Table13[[#This Row],[Conversion Rate ]]/100</f>
        <v>2.1099999999999997E-2</v>
      </c>
      <c r="K233" s="5">
        <f>Table13[[#This Row],[Avg Session Duration (sec)]]/60</f>
        <v>2.4166666666666665</v>
      </c>
    </row>
    <row r="234" spans="1:11" x14ac:dyDescent="0.25">
      <c r="A234" s="6">
        <v>45890</v>
      </c>
      <c r="B234" s="7" t="s">
        <v>239</v>
      </c>
      <c r="C234" t="s">
        <v>248</v>
      </c>
      <c r="D234">
        <v>508</v>
      </c>
      <c r="E234">
        <v>32.14</v>
      </c>
      <c r="F234">
        <v>276</v>
      </c>
      <c r="G234">
        <v>42</v>
      </c>
      <c r="H234">
        <v>8.27</v>
      </c>
      <c r="I234" s="3">
        <f>Table13[[#This Row],[Bounce Rate]]/100</f>
        <v>0.32140000000000002</v>
      </c>
      <c r="J234" s="3">
        <f>Table13[[#This Row],[Conversion Rate ]]/100</f>
        <v>8.2699999999999996E-2</v>
      </c>
      <c r="K234" s="5">
        <f>Table13[[#This Row],[Avg Session Duration (sec)]]/60</f>
        <v>4.5999999999999996</v>
      </c>
    </row>
    <row r="235" spans="1:11" x14ac:dyDescent="0.25">
      <c r="A235" s="6">
        <v>45891</v>
      </c>
      <c r="B235" s="7" t="s">
        <v>240</v>
      </c>
      <c r="C235" t="s">
        <v>247</v>
      </c>
      <c r="D235">
        <v>461</v>
      </c>
      <c r="E235">
        <v>53.52</v>
      </c>
      <c r="F235">
        <v>127</v>
      </c>
      <c r="G235">
        <v>36</v>
      </c>
      <c r="H235">
        <v>7.81</v>
      </c>
      <c r="I235" s="3">
        <f>Table13[[#This Row],[Bounce Rate]]/100</f>
        <v>0.53520000000000001</v>
      </c>
      <c r="J235" s="3">
        <f>Table13[[#This Row],[Conversion Rate ]]/100</f>
        <v>7.8100000000000003E-2</v>
      </c>
      <c r="K235" s="5">
        <f>Table13[[#This Row],[Avg Session Duration (sec)]]/60</f>
        <v>2.1166666666666667</v>
      </c>
    </row>
    <row r="236" spans="1:11" x14ac:dyDescent="0.25">
      <c r="A236" s="6">
        <v>45892</v>
      </c>
      <c r="B236" s="7" t="s">
        <v>241</v>
      </c>
      <c r="C236" t="s">
        <v>248</v>
      </c>
      <c r="D236">
        <v>498</v>
      </c>
      <c r="E236">
        <v>29.85</v>
      </c>
      <c r="F236">
        <v>114</v>
      </c>
      <c r="G236">
        <v>26</v>
      </c>
      <c r="H236">
        <v>5.22</v>
      </c>
      <c r="I236" s="3">
        <f>Table13[[#This Row],[Bounce Rate]]/100</f>
        <v>0.29849999999999999</v>
      </c>
      <c r="J236" s="3">
        <f>Table13[[#This Row],[Conversion Rate ]]/100</f>
        <v>5.2199999999999996E-2</v>
      </c>
      <c r="K236" s="5">
        <f>Table13[[#This Row],[Avg Session Duration (sec)]]/60</f>
        <v>1.9</v>
      </c>
    </row>
    <row r="237" spans="1:11" x14ac:dyDescent="0.25">
      <c r="A237" s="6">
        <v>45893</v>
      </c>
      <c r="B237" s="7" t="s">
        <v>242</v>
      </c>
      <c r="C237" t="s">
        <v>252</v>
      </c>
      <c r="D237">
        <v>135</v>
      </c>
      <c r="E237">
        <v>42.39</v>
      </c>
      <c r="F237">
        <v>82</v>
      </c>
      <c r="G237">
        <v>11</v>
      </c>
      <c r="H237">
        <v>8.15</v>
      </c>
      <c r="I237" s="3">
        <f>Table13[[#This Row],[Bounce Rate]]/100</f>
        <v>0.4239</v>
      </c>
      <c r="J237" s="3">
        <f>Table13[[#This Row],[Conversion Rate ]]/100</f>
        <v>8.1500000000000003E-2</v>
      </c>
      <c r="K237" s="5">
        <f>Table13[[#This Row],[Avg Session Duration (sec)]]/60</f>
        <v>1.3666666666666667</v>
      </c>
    </row>
    <row r="238" spans="1:11" x14ac:dyDescent="0.25">
      <c r="A238" s="6">
        <v>45894</v>
      </c>
      <c r="B238" s="7" t="s">
        <v>243</v>
      </c>
      <c r="C238" t="s">
        <v>249</v>
      </c>
      <c r="D238">
        <v>55</v>
      </c>
      <c r="E238">
        <v>55.05</v>
      </c>
      <c r="F238">
        <v>357</v>
      </c>
      <c r="G238">
        <v>25</v>
      </c>
      <c r="H238">
        <v>45.45</v>
      </c>
      <c r="I238" s="3">
        <f>Table13[[#This Row],[Bounce Rate]]/100</f>
        <v>0.55049999999999999</v>
      </c>
      <c r="J238" s="3">
        <f>Table13[[#This Row],[Conversion Rate ]]/100</f>
        <v>0.45450000000000002</v>
      </c>
      <c r="K238" s="5">
        <f>Table13[[#This Row],[Avg Session Duration (sec)]]/60</f>
        <v>5.95</v>
      </c>
    </row>
    <row r="239" spans="1:11" x14ac:dyDescent="0.25">
      <c r="A239" s="6">
        <v>45895</v>
      </c>
      <c r="B239" s="7" t="s">
        <v>244</v>
      </c>
      <c r="C239" t="s">
        <v>252</v>
      </c>
      <c r="D239">
        <v>323</v>
      </c>
      <c r="E239">
        <v>68.55</v>
      </c>
      <c r="F239">
        <v>223</v>
      </c>
      <c r="G239">
        <v>33</v>
      </c>
      <c r="H239">
        <v>10.220000000000001</v>
      </c>
      <c r="I239" s="3">
        <f>Table13[[#This Row],[Bounce Rate]]/100</f>
        <v>0.6855</v>
      </c>
      <c r="J239" s="3">
        <f>Table13[[#This Row],[Conversion Rate ]]/100</f>
        <v>0.10220000000000001</v>
      </c>
      <c r="K239" s="5">
        <f>Table13[[#This Row],[Avg Session Duration (sec)]]/60</f>
        <v>3.7166666666666668</v>
      </c>
    </row>
    <row r="240" spans="1:11" x14ac:dyDescent="0.25">
      <c r="A240" s="6">
        <v>45896</v>
      </c>
      <c r="B240" s="7" t="s">
        <v>245</v>
      </c>
      <c r="C240" t="s">
        <v>252</v>
      </c>
      <c r="D240">
        <v>537</v>
      </c>
      <c r="E240">
        <v>66.61</v>
      </c>
      <c r="F240">
        <v>324</v>
      </c>
      <c r="G240">
        <v>6</v>
      </c>
      <c r="H240">
        <v>1.1200000000000001</v>
      </c>
      <c r="I240" s="3">
        <f>Table13[[#This Row],[Bounce Rate]]/100</f>
        <v>0.66610000000000003</v>
      </c>
      <c r="J240" s="3">
        <f>Table13[[#This Row],[Conversion Rate ]]/100</f>
        <v>1.1200000000000002E-2</v>
      </c>
      <c r="K240" s="5">
        <f>Table13[[#This Row],[Avg Session Duration (sec)]]/60</f>
        <v>5.4</v>
      </c>
    </row>
    <row r="241" spans="1:11" x14ac:dyDescent="0.25">
      <c r="A241" s="6">
        <v>45897</v>
      </c>
      <c r="B241" s="7" t="s">
        <v>246</v>
      </c>
      <c r="C241" t="s">
        <v>249</v>
      </c>
      <c r="D241">
        <v>102</v>
      </c>
      <c r="E241">
        <v>38.28</v>
      </c>
      <c r="F241">
        <v>82</v>
      </c>
      <c r="G241">
        <v>11</v>
      </c>
      <c r="H241">
        <v>10.78</v>
      </c>
      <c r="I241" s="3">
        <f>Table13[[#This Row],[Bounce Rate]]/100</f>
        <v>0.38280000000000003</v>
      </c>
      <c r="J241" s="3">
        <f>Table13[[#This Row],[Conversion Rate ]]/100</f>
        <v>0.10779999999999999</v>
      </c>
      <c r="K241" s="5">
        <f>Table13[[#This Row],[Avg Session Duration (sec)]]/60</f>
        <v>1.3666666666666667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Traffic &amp; User Behavior Analysi</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Chika Barn</dc:creator>
  <cp:lastModifiedBy>The Great Kabarn</cp:lastModifiedBy>
  <dcterms:created xsi:type="dcterms:W3CDTF">2026-01-02T08:28:15Z</dcterms:created>
  <dcterms:modified xsi:type="dcterms:W3CDTF">2026-01-02T14:30:20Z</dcterms:modified>
</cp:coreProperties>
</file>